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sayali anil ingale\Documents\"/>
    </mc:Choice>
  </mc:AlternateContent>
  <xr:revisionPtr revIDLastSave="0" documentId="8_{907035C6-300E-4CCF-8923-B5337322DCB4}" xr6:coauthVersionLast="47" xr6:coauthVersionMax="47" xr10:uidLastSave="{00000000-0000-0000-0000-000000000000}"/>
  <bookViews>
    <workbookView xWindow="-108" yWindow="-108" windowWidth="23256" windowHeight="12456" activeTab="3" xr2:uid="{00000000-000D-0000-FFFF-FFFF00000000}"/>
  </bookViews>
  <sheets>
    <sheet name="Employee_Data" sheetId="1" r:id="rId1"/>
    <sheet name="Lookup" sheetId="2" r:id="rId2"/>
    <sheet name="Pivot" sheetId="3" r:id="rId3"/>
    <sheet name="DASHBOARD" sheetId="5" r:id="rId4"/>
  </sheets>
  <definedNames>
    <definedName name="_xlnm._FilterDatabase" localSheetId="0" hidden="1">Employee_Data!$A$1:$N$1</definedName>
    <definedName name="Slicer_Department">#N/A</definedName>
    <definedName name="Slicer_Gender">#N/A</definedName>
    <definedName name="Slicer_Manager_Nam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3" i="5" l="1"/>
  <c r="P7" i="5"/>
  <c r="K7" i="5"/>
  <c r="F7" i="5"/>
  <c r="A7" i="5"/>
</calcChain>
</file>

<file path=xl/sharedStrings.xml><?xml version="1.0" encoding="utf-8"?>
<sst xmlns="http://schemas.openxmlformats.org/spreadsheetml/2006/main" count="4618" uniqueCount="1160">
  <si>
    <t>Employee_ID</t>
  </si>
  <si>
    <t>Employee_Name</t>
  </si>
  <si>
    <t>Gender</t>
  </si>
  <si>
    <t>Age</t>
  </si>
  <si>
    <t>Department</t>
  </si>
  <si>
    <t>City</t>
  </si>
  <si>
    <t>Joining_Date</t>
  </si>
  <si>
    <t>Experience_Years</t>
  </si>
  <si>
    <t>Salary</t>
  </si>
  <si>
    <t>Bonus</t>
  </si>
  <si>
    <t>Attendance_%</t>
  </si>
  <si>
    <t>Performance_Rating</t>
  </si>
  <si>
    <t>Promotion_Status</t>
  </si>
  <si>
    <t>Manager_Name</t>
  </si>
  <si>
    <t>EMP0001</t>
  </si>
  <si>
    <t>Priya Joshi</t>
  </si>
  <si>
    <t>Female</t>
  </si>
  <si>
    <t>Finance</t>
  </si>
  <si>
    <t>Hyderabad</t>
  </si>
  <si>
    <t>2019-06-21</t>
  </si>
  <si>
    <t>Excellent</t>
  </si>
  <si>
    <t>No</t>
  </si>
  <si>
    <t>Karan Singh</t>
  </si>
  <si>
    <t>EMP0002</t>
  </si>
  <si>
    <t>Karan Joshi</t>
  </si>
  <si>
    <t>IT</t>
  </si>
  <si>
    <t>Delhi</t>
  </si>
  <si>
    <t>2021-07-22</t>
  </si>
  <si>
    <t>Rahul Sharma</t>
  </si>
  <si>
    <t>EMP0003</t>
  </si>
  <si>
    <t>Yash Kale</t>
  </si>
  <si>
    <t>Male</t>
  </si>
  <si>
    <t>Marketing</t>
  </si>
  <si>
    <t>2022-09-08</t>
  </si>
  <si>
    <t>Good</t>
  </si>
  <si>
    <t>Amit Verma</t>
  </si>
  <si>
    <t>EMP0004</t>
  </si>
  <si>
    <t>Priya Kale</t>
  </si>
  <si>
    <t>Operations</t>
  </si>
  <si>
    <t>2021-07-10</t>
  </si>
  <si>
    <t>Average</t>
  </si>
  <si>
    <t>EMP0005</t>
  </si>
  <si>
    <t>Rahul Singh</t>
  </si>
  <si>
    <t>2021-12-28</t>
  </si>
  <si>
    <t>Sneha Joshi</t>
  </si>
  <si>
    <t>EMP0006</t>
  </si>
  <si>
    <t>Rohan Verma</t>
  </si>
  <si>
    <t>Sales</t>
  </si>
  <si>
    <t>Nashik</t>
  </si>
  <si>
    <t>2022-11-28</t>
  </si>
  <si>
    <t>Priya Patil</t>
  </si>
  <si>
    <t>EMP0007</t>
  </si>
  <si>
    <t>Aarav Joshi</t>
  </si>
  <si>
    <t>2019-06-09</t>
  </si>
  <si>
    <t>EMP0008</t>
  </si>
  <si>
    <t>Rohan More</t>
  </si>
  <si>
    <t>2021-09-05</t>
  </si>
  <si>
    <t>EMP0009</t>
  </si>
  <si>
    <t>Rahul Patil</t>
  </si>
  <si>
    <t>HR</t>
  </si>
  <si>
    <t>Pune</t>
  </si>
  <si>
    <t>2020-11-19</t>
  </si>
  <si>
    <t>EMP0010</t>
  </si>
  <si>
    <t>Neha Joshi</t>
  </si>
  <si>
    <t>2019-10-22</t>
  </si>
  <si>
    <t>EMP0011</t>
  </si>
  <si>
    <t>Aditya Verma</t>
  </si>
  <si>
    <t>Nagpur</t>
  </si>
  <si>
    <t>2021-12-22</t>
  </si>
  <si>
    <t>Poor</t>
  </si>
  <si>
    <t>EMP0012</t>
  </si>
  <si>
    <t>Ajinkya Sharma</t>
  </si>
  <si>
    <t>2024-02-17</t>
  </si>
  <si>
    <t>EMP0013</t>
  </si>
  <si>
    <t>Ananya Jadhav</t>
  </si>
  <si>
    <t>Mumbai</t>
  </si>
  <si>
    <t>2025-10-18</t>
  </si>
  <si>
    <t>EMP0014</t>
  </si>
  <si>
    <t>Isha Joshi</t>
  </si>
  <si>
    <t>2022-11-27</t>
  </si>
  <si>
    <t>EMP0015</t>
  </si>
  <si>
    <t>Sayali Patil</t>
  </si>
  <si>
    <t>2024-08-02</t>
  </si>
  <si>
    <t>EMP0016</t>
  </si>
  <si>
    <t>Ananya Sharma</t>
  </si>
  <si>
    <t>Bengaluru</t>
  </si>
  <si>
    <t>2019-08-24</t>
  </si>
  <si>
    <t>EMP0017</t>
  </si>
  <si>
    <t>Sakshi Verma</t>
  </si>
  <si>
    <t>2023-03-14</t>
  </si>
  <si>
    <t>EMP0018</t>
  </si>
  <si>
    <t>Rahul Joshi</t>
  </si>
  <si>
    <t>2021-02-15</t>
  </si>
  <si>
    <t>EMP0019</t>
  </si>
  <si>
    <t>Rohan Kale</t>
  </si>
  <si>
    <t>2019-03-01</t>
  </si>
  <si>
    <t>EMP0020</t>
  </si>
  <si>
    <t>Om Sharma</t>
  </si>
  <si>
    <t>2018-11-26</t>
  </si>
  <si>
    <t>EMP0021</t>
  </si>
  <si>
    <t>Ajinkya Verma</t>
  </si>
  <si>
    <t>2022-06-10</t>
  </si>
  <si>
    <t>EMP0022</t>
  </si>
  <si>
    <t>Pooja Joshi</t>
  </si>
  <si>
    <t>2023-12-13</t>
  </si>
  <si>
    <t>EMP0023</t>
  </si>
  <si>
    <t>Rohan Singh</t>
  </si>
  <si>
    <t>2021-07-25</t>
  </si>
  <si>
    <t>EMP0024</t>
  </si>
  <si>
    <t>Aditya Sharma</t>
  </si>
  <si>
    <t>2019-01-13</t>
  </si>
  <si>
    <t>EMP0025</t>
  </si>
  <si>
    <t>Aarav Singh</t>
  </si>
  <si>
    <t>2019-03-23</t>
  </si>
  <si>
    <t>EMP0026</t>
  </si>
  <si>
    <t>Nikita More</t>
  </si>
  <si>
    <t>2019-11-25</t>
  </si>
  <si>
    <t>Yes</t>
  </si>
  <si>
    <t>EMP0027</t>
  </si>
  <si>
    <t>Isha Kale</t>
  </si>
  <si>
    <t>2020-09-09</t>
  </si>
  <si>
    <t>EMP0028</t>
  </si>
  <si>
    <t>2025-01-01</t>
  </si>
  <si>
    <t>EMP0029</t>
  </si>
  <si>
    <t>Pooja Patil</t>
  </si>
  <si>
    <t>2019-07-28</t>
  </si>
  <si>
    <t>EMP0030</t>
  </si>
  <si>
    <t>Priya Verma</t>
  </si>
  <si>
    <t>2018-01-07</t>
  </si>
  <si>
    <t>EMP0031</t>
  </si>
  <si>
    <t>Ajinkya Jadhav</t>
  </si>
  <si>
    <t>2024-05-07</t>
  </si>
  <si>
    <t>EMP0032</t>
  </si>
  <si>
    <t>Priya Sharma</t>
  </si>
  <si>
    <t>2024-03-11</t>
  </si>
  <si>
    <t>EMP0033</t>
  </si>
  <si>
    <t>2021-11-10</t>
  </si>
  <si>
    <t>EMP0034</t>
  </si>
  <si>
    <t>EMP0035</t>
  </si>
  <si>
    <t>Neha Jadhav</t>
  </si>
  <si>
    <t>2025-11-30</t>
  </si>
  <si>
    <t>EMP0036</t>
  </si>
  <si>
    <t>Isha Sharma</t>
  </si>
  <si>
    <t>2023-08-23</t>
  </si>
  <si>
    <t>EMP0037</t>
  </si>
  <si>
    <t>Riya Kale</t>
  </si>
  <si>
    <t>2023-12-30</t>
  </si>
  <si>
    <t>EMP0038</t>
  </si>
  <si>
    <t>Riya Joshi</t>
  </si>
  <si>
    <t>2018-03-19</t>
  </si>
  <si>
    <t>EMP0039</t>
  </si>
  <si>
    <t>2023-10-14</t>
  </si>
  <si>
    <t>EMP0040</t>
  </si>
  <si>
    <t>2026-02-19</t>
  </si>
  <si>
    <t>EMP0041</t>
  </si>
  <si>
    <t>Pooja Verma</t>
  </si>
  <si>
    <t>2018-08-18</t>
  </si>
  <si>
    <t>EMP0042</t>
  </si>
  <si>
    <t>Sneha Patil</t>
  </si>
  <si>
    <t>2025-06-04</t>
  </si>
  <si>
    <t>EMP0043</t>
  </si>
  <si>
    <t>Sayali Sharma</t>
  </si>
  <si>
    <t>2024-07-03</t>
  </si>
  <si>
    <t>EMP0044</t>
  </si>
  <si>
    <t>Ananya Patil</t>
  </si>
  <si>
    <t>2018-10-05</t>
  </si>
  <si>
    <t>EMP0045</t>
  </si>
  <si>
    <t>Ananya Joshi</t>
  </si>
  <si>
    <t>2019-08-19</t>
  </si>
  <si>
    <t>EMP0046</t>
  </si>
  <si>
    <t>Yash More</t>
  </si>
  <si>
    <t>2020-10-30</t>
  </si>
  <si>
    <t>EMP0047</t>
  </si>
  <si>
    <t>Om Singh</t>
  </si>
  <si>
    <t>2021-05-18</t>
  </si>
  <si>
    <t>EMP0048</t>
  </si>
  <si>
    <t>Priya Singh</t>
  </si>
  <si>
    <t>2018-07-13</t>
  </si>
  <si>
    <t>EMP0049</t>
  </si>
  <si>
    <t>Karan Sharma</t>
  </si>
  <si>
    <t>2021-08-12</t>
  </si>
  <si>
    <t>EMP0050</t>
  </si>
  <si>
    <t>2018-09-02</t>
  </si>
  <si>
    <t>EMP0051</t>
  </si>
  <si>
    <t>Karan Kale</t>
  </si>
  <si>
    <t>2021-05-21</t>
  </si>
  <si>
    <t>EMP0052</t>
  </si>
  <si>
    <t>Sakshi Kale</t>
  </si>
  <si>
    <t>2023-10-22</t>
  </si>
  <si>
    <t>EMP0053</t>
  </si>
  <si>
    <t>Ajinkya Kale</t>
  </si>
  <si>
    <t>2020-04-02</t>
  </si>
  <si>
    <t>EMP0054</t>
  </si>
  <si>
    <t>2020-11-24</t>
  </si>
  <si>
    <t>EMP0055</t>
  </si>
  <si>
    <t>Neha Verma</t>
  </si>
  <si>
    <t>2021-03-04</t>
  </si>
  <si>
    <t>EMP0056</t>
  </si>
  <si>
    <t>Isha Patil</t>
  </si>
  <si>
    <t>2020-09-16</t>
  </si>
  <si>
    <t>EMP0057</t>
  </si>
  <si>
    <t>2026-03-06</t>
  </si>
  <si>
    <t>EMP0058</t>
  </si>
  <si>
    <t>Nikita Jadhav</t>
  </si>
  <si>
    <t>2023-12-05</t>
  </si>
  <si>
    <t>EMP0059</t>
  </si>
  <si>
    <t>2018-09-19</t>
  </si>
  <si>
    <t>EMP0060</t>
  </si>
  <si>
    <t>Amit Sharma</t>
  </si>
  <si>
    <t>2019-02-02</t>
  </si>
  <si>
    <t>EMP0061</t>
  </si>
  <si>
    <t>Aarav Patil</t>
  </si>
  <si>
    <t>2022-05-11</t>
  </si>
  <si>
    <t>EMP0062</t>
  </si>
  <si>
    <t>Sneha Jadhav</t>
  </si>
  <si>
    <t>2022-07-30</t>
  </si>
  <si>
    <t>EMP0063</t>
  </si>
  <si>
    <t>2025-06-09</t>
  </si>
  <si>
    <t>EMP0064</t>
  </si>
  <si>
    <t>2021-02-24</t>
  </si>
  <si>
    <t>EMP0065</t>
  </si>
  <si>
    <t>Neha Kale</t>
  </si>
  <si>
    <t>2026-01-12</t>
  </si>
  <si>
    <t>EMP0066</t>
  </si>
  <si>
    <t>Rohan Joshi</t>
  </si>
  <si>
    <t>2021-11-16</t>
  </si>
  <si>
    <t>EMP0067</t>
  </si>
  <si>
    <t>Karan Jadhav</t>
  </si>
  <si>
    <t>2023-04-13</t>
  </si>
  <si>
    <t>EMP0068</t>
  </si>
  <si>
    <t>2021-10-27</t>
  </si>
  <si>
    <t>EMP0069</t>
  </si>
  <si>
    <t>Pooja Jadhav</t>
  </si>
  <si>
    <t>2022-10-23</t>
  </si>
  <si>
    <t>EMP0070</t>
  </si>
  <si>
    <t>2024-05-02</t>
  </si>
  <si>
    <t>EMP0071</t>
  </si>
  <si>
    <t>Neha Sharma</t>
  </si>
  <si>
    <t>2022-11-18</t>
  </si>
  <si>
    <t>EMP0072</t>
  </si>
  <si>
    <t>2025-03-19</t>
  </si>
  <si>
    <t>EMP0073</t>
  </si>
  <si>
    <t>Yash Jadhav</t>
  </si>
  <si>
    <t>2024-02-06</t>
  </si>
  <si>
    <t>EMP0074</t>
  </si>
  <si>
    <t>Riya Verma</t>
  </si>
  <si>
    <t>2023-09-21</t>
  </si>
  <si>
    <t>EMP0075</t>
  </si>
  <si>
    <t>Sakshi More</t>
  </si>
  <si>
    <t>2022-01-09</t>
  </si>
  <si>
    <t>EMP0076</t>
  </si>
  <si>
    <t>Isha Singh</t>
  </si>
  <si>
    <t>2023-05-26</t>
  </si>
  <si>
    <t>EMP0077</t>
  </si>
  <si>
    <t>Vivaan Patil</t>
  </si>
  <si>
    <t>2025-12-25</t>
  </si>
  <si>
    <t>EMP0078</t>
  </si>
  <si>
    <t>Sakshi Sharma</t>
  </si>
  <si>
    <t>2019-05-15</t>
  </si>
  <si>
    <t>EMP0079</t>
  </si>
  <si>
    <t>Aarav Sharma</t>
  </si>
  <si>
    <t>2021-10-12</t>
  </si>
  <si>
    <t>EMP0080</t>
  </si>
  <si>
    <t>Nikita Singh</t>
  </si>
  <si>
    <t>2025-04-10</t>
  </si>
  <si>
    <t>EMP0081</t>
  </si>
  <si>
    <t>Neha Patil</t>
  </si>
  <si>
    <t>2021-12-15</t>
  </si>
  <si>
    <t>EMP0082</t>
  </si>
  <si>
    <t>2019-01-09</t>
  </si>
  <si>
    <t>EMP0083</t>
  </si>
  <si>
    <t>2024-05-24</t>
  </si>
  <si>
    <t>EMP0084</t>
  </si>
  <si>
    <t>2025-07-10</t>
  </si>
  <si>
    <t>EMP0085</t>
  </si>
  <si>
    <t>2019-06-22</t>
  </si>
  <si>
    <t>EMP0086</t>
  </si>
  <si>
    <t>EMP0087</t>
  </si>
  <si>
    <t>2018-03-29</t>
  </si>
  <si>
    <t>EMP0088</t>
  </si>
  <si>
    <t>Amit Kale</t>
  </si>
  <si>
    <t>2019-11-19</t>
  </si>
  <si>
    <t>EMP0089</t>
  </si>
  <si>
    <t>Karan Patil</t>
  </si>
  <si>
    <t>2021-09-07</t>
  </si>
  <si>
    <t>EMP0090</t>
  </si>
  <si>
    <t>Amit Jadhav</t>
  </si>
  <si>
    <t>2025-08-21</t>
  </si>
  <si>
    <t>EMP0091</t>
  </si>
  <si>
    <t>Yash Patil</t>
  </si>
  <si>
    <t>2018-08-31</t>
  </si>
  <si>
    <t>EMP0092</t>
  </si>
  <si>
    <t>Yash Singh</t>
  </si>
  <si>
    <t>2024-01-19</t>
  </si>
  <si>
    <t>EMP0093</t>
  </si>
  <si>
    <t>2023-09-20</t>
  </si>
  <si>
    <t>EMP0094</t>
  </si>
  <si>
    <t>Sneha Singh</t>
  </si>
  <si>
    <t>2020-07-28</t>
  </si>
  <si>
    <t>EMP0095</t>
  </si>
  <si>
    <t>Aditya Joshi</t>
  </si>
  <si>
    <t>2023-11-12</t>
  </si>
  <si>
    <t>EMP0096</t>
  </si>
  <si>
    <t>2018-07-16</t>
  </si>
  <si>
    <t>EMP0097</t>
  </si>
  <si>
    <t>Pooja Singh</t>
  </si>
  <si>
    <t>2022-10-26</t>
  </si>
  <si>
    <t>EMP0098</t>
  </si>
  <si>
    <t>Ananya Singh</t>
  </si>
  <si>
    <t>2025-02-02</t>
  </si>
  <si>
    <t>EMP0099</t>
  </si>
  <si>
    <t>2023-03-25</t>
  </si>
  <si>
    <t>EMP0100</t>
  </si>
  <si>
    <t>2021-07-31</t>
  </si>
  <si>
    <t>EMP0101</t>
  </si>
  <si>
    <t>2025-09-06</t>
  </si>
  <si>
    <t>EMP0102</t>
  </si>
  <si>
    <t>2023-07-08</t>
  </si>
  <si>
    <t>EMP0103</t>
  </si>
  <si>
    <t>Yash Verma</t>
  </si>
  <si>
    <t>2023-07-10</t>
  </si>
  <si>
    <t>EMP0104</t>
  </si>
  <si>
    <t>Sneha More</t>
  </si>
  <si>
    <t>2024-01-01</t>
  </si>
  <si>
    <t>EMP0105</t>
  </si>
  <si>
    <t>2024-04-18</t>
  </si>
  <si>
    <t>EMP0106</t>
  </si>
  <si>
    <t>Sakshi Joshi</t>
  </si>
  <si>
    <t>2022-11-10</t>
  </si>
  <si>
    <t>EMP0107</t>
  </si>
  <si>
    <t>Vivaan Kale</t>
  </si>
  <si>
    <t>2025-06-14</t>
  </si>
  <si>
    <t>EMP0108</t>
  </si>
  <si>
    <t>2019-11-07</t>
  </si>
  <si>
    <t>EMP0109</t>
  </si>
  <si>
    <t>Sakshi Singh</t>
  </si>
  <si>
    <t>2025-12-16</t>
  </si>
  <si>
    <t>EMP0110</t>
  </si>
  <si>
    <t>Riya Jadhav</t>
  </si>
  <si>
    <t>2021-01-14</t>
  </si>
  <si>
    <t>EMP0111</t>
  </si>
  <si>
    <t>2021-12-19</t>
  </si>
  <si>
    <t>EMP0112</t>
  </si>
  <si>
    <t>2022-12-23</t>
  </si>
  <si>
    <t>EMP0113</t>
  </si>
  <si>
    <t>Riya Sharma</t>
  </si>
  <si>
    <t>2021-06-06</t>
  </si>
  <si>
    <t>EMP0114</t>
  </si>
  <si>
    <t>Vivaan Verma</t>
  </si>
  <si>
    <t>EMP0115</t>
  </si>
  <si>
    <t>2023-06-12</t>
  </si>
  <si>
    <t>EMP0116</t>
  </si>
  <si>
    <t>Nikita Verma</t>
  </si>
  <si>
    <t>2023-03-12</t>
  </si>
  <si>
    <t>EMP0117</t>
  </si>
  <si>
    <t>2023-11-02</t>
  </si>
  <si>
    <t>EMP0118</t>
  </si>
  <si>
    <t>2018-03-07</t>
  </si>
  <si>
    <t>EMP0119</t>
  </si>
  <si>
    <t>2020-11-16</t>
  </si>
  <si>
    <t>EMP0120</t>
  </si>
  <si>
    <t>Rahul Verma</t>
  </si>
  <si>
    <t>2025-11-23</t>
  </si>
  <si>
    <t>EMP0121</t>
  </si>
  <si>
    <t>2024-03-01</t>
  </si>
  <si>
    <t>EMP0122</t>
  </si>
  <si>
    <t>2018-02-14</t>
  </si>
  <si>
    <t>EMP0123</t>
  </si>
  <si>
    <t>2021-03-19</t>
  </si>
  <si>
    <t>EMP0124</t>
  </si>
  <si>
    <t>2018-09-25</t>
  </si>
  <si>
    <t>EMP0125</t>
  </si>
  <si>
    <t>2025-05-02</t>
  </si>
  <si>
    <t>EMP0126</t>
  </si>
  <si>
    <t>Amit Singh</t>
  </si>
  <si>
    <t>2024-04-03</t>
  </si>
  <si>
    <t>EMP0127</t>
  </si>
  <si>
    <t>2022-02-23</t>
  </si>
  <si>
    <t>EMP0128</t>
  </si>
  <si>
    <t>Amit Joshi</t>
  </si>
  <si>
    <t>2022-10-02</t>
  </si>
  <si>
    <t>EMP0129</t>
  </si>
  <si>
    <t>Riya Patil</t>
  </si>
  <si>
    <t>2026-02-26</t>
  </si>
  <si>
    <t>EMP0130</t>
  </si>
  <si>
    <t>2021-04-08</t>
  </si>
  <si>
    <t>EMP0131</t>
  </si>
  <si>
    <t>2020-10-17</t>
  </si>
  <si>
    <t>EMP0132</t>
  </si>
  <si>
    <t>Amit More</t>
  </si>
  <si>
    <t>2025-07-22</t>
  </si>
  <si>
    <t>EMP0133</t>
  </si>
  <si>
    <t>Rahul More</t>
  </si>
  <si>
    <t>2021-03-18</t>
  </si>
  <si>
    <t>EMP0134</t>
  </si>
  <si>
    <t>EMP0135</t>
  </si>
  <si>
    <t>2025-04-23</t>
  </si>
  <si>
    <t>EMP0136</t>
  </si>
  <si>
    <t>Rahul Jadhav</t>
  </si>
  <si>
    <t>2022-01-28</t>
  </si>
  <si>
    <t>EMP0137</t>
  </si>
  <si>
    <t>2024-03-23</t>
  </si>
  <si>
    <t>EMP0138</t>
  </si>
  <si>
    <t>2022-03-19</t>
  </si>
  <si>
    <t>EMP0139</t>
  </si>
  <si>
    <t>2022-01-06</t>
  </si>
  <si>
    <t>EMP0140</t>
  </si>
  <si>
    <t>Nikita Joshi</t>
  </si>
  <si>
    <t>2023-08-24</t>
  </si>
  <si>
    <t>EMP0141</t>
  </si>
  <si>
    <t>Sneha Verma</t>
  </si>
  <si>
    <t>2020-12-23</t>
  </si>
  <si>
    <t>EMP0142</t>
  </si>
  <si>
    <t>2022-02-07</t>
  </si>
  <si>
    <t>EMP0143</t>
  </si>
  <si>
    <t>2024-09-10</t>
  </si>
  <si>
    <t>EMP0144</t>
  </si>
  <si>
    <t>2021-09-30</t>
  </si>
  <si>
    <t>EMP0145</t>
  </si>
  <si>
    <t>2019-09-19</t>
  </si>
  <si>
    <t>EMP0146</t>
  </si>
  <si>
    <t>2025-03-05</t>
  </si>
  <si>
    <t>EMP0147</t>
  </si>
  <si>
    <t>Yash Sharma</t>
  </si>
  <si>
    <t>EMP0148</t>
  </si>
  <si>
    <t>2018-04-16</t>
  </si>
  <si>
    <t>EMP0149</t>
  </si>
  <si>
    <t>Aarav Jadhav</t>
  </si>
  <si>
    <t>2026-01-16</t>
  </si>
  <si>
    <t>EMP0150</t>
  </si>
  <si>
    <t>Sayali Kale</t>
  </si>
  <si>
    <t>2023-04-23</t>
  </si>
  <si>
    <t>EMP0151</t>
  </si>
  <si>
    <t>Aarav Kale</t>
  </si>
  <si>
    <t>2025-08-26</t>
  </si>
  <si>
    <t>EMP0152</t>
  </si>
  <si>
    <t>2024-02-14</t>
  </si>
  <si>
    <t>EMP0153</t>
  </si>
  <si>
    <t>2018-02-25</t>
  </si>
  <si>
    <t>EMP0154</t>
  </si>
  <si>
    <t>2024-05-10</t>
  </si>
  <si>
    <t>EMP0155</t>
  </si>
  <si>
    <t>2023-03-23</t>
  </si>
  <si>
    <t>EMP0156</t>
  </si>
  <si>
    <t>2019-03-22</t>
  </si>
  <si>
    <t>EMP0157</t>
  </si>
  <si>
    <t>EMP0158</t>
  </si>
  <si>
    <t>2024-06-14</t>
  </si>
  <si>
    <t>EMP0159</t>
  </si>
  <si>
    <t>2023-06-05</t>
  </si>
  <si>
    <t>EMP0160</t>
  </si>
  <si>
    <t>2018-08-20</t>
  </si>
  <si>
    <t>EMP0161</t>
  </si>
  <si>
    <t>2025-10-30</t>
  </si>
  <si>
    <t>EMP0162</t>
  </si>
  <si>
    <t>2021-04-13</t>
  </si>
  <si>
    <t>EMP0163</t>
  </si>
  <si>
    <t>EMP0164</t>
  </si>
  <si>
    <t>Isha Jadhav</t>
  </si>
  <si>
    <t>2022-05-30</t>
  </si>
  <si>
    <t>EMP0165</t>
  </si>
  <si>
    <t>2020-01-04</t>
  </si>
  <si>
    <t>EMP0166</t>
  </si>
  <si>
    <t>2023-09-03</t>
  </si>
  <si>
    <t>EMP0167</t>
  </si>
  <si>
    <t>2021-02-02</t>
  </si>
  <si>
    <t>EMP0168</t>
  </si>
  <si>
    <t>Sayali Jadhav</t>
  </si>
  <si>
    <t>EMP0169</t>
  </si>
  <si>
    <t>Aditya More</t>
  </si>
  <si>
    <t>EMP0170</t>
  </si>
  <si>
    <t>2021-06-02</t>
  </si>
  <si>
    <t>EMP0171</t>
  </si>
  <si>
    <t>2019-08-25</t>
  </si>
  <si>
    <t>EMP0172</t>
  </si>
  <si>
    <t>Om More</t>
  </si>
  <si>
    <t>2025-03-12</t>
  </si>
  <si>
    <t>EMP0173</t>
  </si>
  <si>
    <t>2021-04-25</t>
  </si>
  <si>
    <t>EMP0174</t>
  </si>
  <si>
    <t>Neha Singh</t>
  </si>
  <si>
    <t>2025-06-23</t>
  </si>
  <si>
    <t>EMP0175</t>
  </si>
  <si>
    <t>2020-05-07</t>
  </si>
  <si>
    <t>EMP0176</t>
  </si>
  <si>
    <t>Yash Joshi</t>
  </si>
  <si>
    <t>2018-10-29</t>
  </si>
  <si>
    <t>EMP0177</t>
  </si>
  <si>
    <t>2018-12-11</t>
  </si>
  <si>
    <t>EMP0178</t>
  </si>
  <si>
    <t>2022-06-05</t>
  </si>
  <si>
    <t>EMP0179</t>
  </si>
  <si>
    <t>2020-02-09</t>
  </si>
  <si>
    <t>EMP0180</t>
  </si>
  <si>
    <t>Pooja Kale</t>
  </si>
  <si>
    <t>2019-08-08</t>
  </si>
  <si>
    <t>EMP0181</t>
  </si>
  <si>
    <t>2020-04-23</t>
  </si>
  <si>
    <t>EMP0182</t>
  </si>
  <si>
    <t>2021-05-29</t>
  </si>
  <si>
    <t>EMP0183</t>
  </si>
  <si>
    <t>2022-06-01</t>
  </si>
  <si>
    <t>EMP0184</t>
  </si>
  <si>
    <t>2020-02-22</t>
  </si>
  <si>
    <t>EMP0185</t>
  </si>
  <si>
    <t>2023-08-29</t>
  </si>
  <si>
    <t>EMP0186</t>
  </si>
  <si>
    <t>2022-06-11</t>
  </si>
  <si>
    <t>EMP0187</t>
  </si>
  <si>
    <t>2022-01-15</t>
  </si>
  <si>
    <t>EMP0188</t>
  </si>
  <si>
    <t>EMP0189</t>
  </si>
  <si>
    <t>2022-07-22</t>
  </si>
  <si>
    <t>EMP0190</t>
  </si>
  <si>
    <t>Sneha Kale</t>
  </si>
  <si>
    <t>2019-11-22</t>
  </si>
  <si>
    <t>EMP0191</t>
  </si>
  <si>
    <t>2022-11-24</t>
  </si>
  <si>
    <t>EMP0192</t>
  </si>
  <si>
    <t>2025-07-15</t>
  </si>
  <si>
    <t>EMP0193</t>
  </si>
  <si>
    <t>2019-01-06</t>
  </si>
  <si>
    <t>EMP0194</t>
  </si>
  <si>
    <t>Isha More</t>
  </si>
  <si>
    <t>2020-07-03</t>
  </si>
  <si>
    <t>EMP0195</t>
  </si>
  <si>
    <t>Ajinkya Patil</t>
  </si>
  <si>
    <t>2023-03-02</t>
  </si>
  <si>
    <t>EMP0196</t>
  </si>
  <si>
    <t>Sakshi Jadhav</t>
  </si>
  <si>
    <t>2019-04-07</t>
  </si>
  <si>
    <t>EMP0197</t>
  </si>
  <si>
    <t>2018-02-05</t>
  </si>
  <si>
    <t>EMP0198</t>
  </si>
  <si>
    <t>2020-11-22</t>
  </si>
  <si>
    <t>EMP0199</t>
  </si>
  <si>
    <t>2022-03-28</t>
  </si>
  <si>
    <t>EMP0200</t>
  </si>
  <si>
    <t>Priya Jadhav</t>
  </si>
  <si>
    <t>2021-08-14</t>
  </si>
  <si>
    <t>EMP0201</t>
  </si>
  <si>
    <t>Rahul Kale</t>
  </si>
  <si>
    <t>2022-05-09</t>
  </si>
  <si>
    <t>EMP0202</t>
  </si>
  <si>
    <t>EMP0203</t>
  </si>
  <si>
    <t>2022-08-20</t>
  </si>
  <si>
    <t>EMP0204</t>
  </si>
  <si>
    <t>Ananya Verma</t>
  </si>
  <si>
    <t>EMP0205</t>
  </si>
  <si>
    <t>2026-02-03</t>
  </si>
  <si>
    <t>EMP0206</t>
  </si>
  <si>
    <t>Ananya More</t>
  </si>
  <si>
    <t>2021-05-31</t>
  </si>
  <si>
    <t>EMP0207</t>
  </si>
  <si>
    <t>Sayali Singh</t>
  </si>
  <si>
    <t>2020-01-19</t>
  </si>
  <si>
    <t>EMP0208</t>
  </si>
  <si>
    <t>2018-11-09</t>
  </si>
  <si>
    <t>EMP0209</t>
  </si>
  <si>
    <t>2024-06-30</t>
  </si>
  <si>
    <t>EMP0210</t>
  </si>
  <si>
    <t>2020-10-10</t>
  </si>
  <si>
    <t>EMP0211</t>
  </si>
  <si>
    <t>2021-12-06</t>
  </si>
  <si>
    <t>EMP0212</t>
  </si>
  <si>
    <t>Neha More</t>
  </si>
  <si>
    <t>2021-07-19</t>
  </si>
  <si>
    <t>EMP0213</t>
  </si>
  <si>
    <t>2018-04-13</t>
  </si>
  <si>
    <t>EMP0214</t>
  </si>
  <si>
    <t>EMP0215</t>
  </si>
  <si>
    <t>EMP0216</t>
  </si>
  <si>
    <t>2020-05-30</t>
  </si>
  <si>
    <t>EMP0217</t>
  </si>
  <si>
    <t>2024-07-19</t>
  </si>
  <si>
    <t>EMP0218</t>
  </si>
  <si>
    <t>2023-12-29</t>
  </si>
  <si>
    <t>EMP0219</t>
  </si>
  <si>
    <t>2022-10-06</t>
  </si>
  <si>
    <t>EMP0220</t>
  </si>
  <si>
    <t>2019-05-25</t>
  </si>
  <si>
    <t>EMP0221</t>
  </si>
  <si>
    <t>2020-08-31</t>
  </si>
  <si>
    <t>EMP0222</t>
  </si>
  <si>
    <t>2023-03-30</t>
  </si>
  <si>
    <t>EMP0223</t>
  </si>
  <si>
    <t>2022-08-21</t>
  </si>
  <si>
    <t>EMP0224</t>
  </si>
  <si>
    <t>Pooja Sharma</t>
  </si>
  <si>
    <t>2021-06-11</t>
  </si>
  <si>
    <t>EMP0225</t>
  </si>
  <si>
    <t>2022-10-01</t>
  </si>
  <si>
    <t>EMP0226</t>
  </si>
  <si>
    <t>2018-01-25</t>
  </si>
  <si>
    <t>EMP0227</t>
  </si>
  <si>
    <t>2026-03-05</t>
  </si>
  <si>
    <t>EMP0228</t>
  </si>
  <si>
    <t>Sayali Verma</t>
  </si>
  <si>
    <t>2022-01-16</t>
  </si>
  <si>
    <t>EMP0229</t>
  </si>
  <si>
    <t>Isha Verma</t>
  </si>
  <si>
    <t>2024-02-10</t>
  </si>
  <si>
    <t>EMP0230</t>
  </si>
  <si>
    <t>2020-11-03</t>
  </si>
  <si>
    <t>EMP0231</t>
  </si>
  <si>
    <t>2019-04-18</t>
  </si>
  <si>
    <t>EMP0232</t>
  </si>
  <si>
    <t>2025-09-13</t>
  </si>
  <si>
    <t>EMP0233</t>
  </si>
  <si>
    <t>2021-04-01</t>
  </si>
  <si>
    <t>EMP0234</t>
  </si>
  <si>
    <t>2020-01-14</t>
  </si>
  <si>
    <t>EMP0235</t>
  </si>
  <si>
    <t>EMP0236</t>
  </si>
  <si>
    <t>EMP0237</t>
  </si>
  <si>
    <t>2022-09-23</t>
  </si>
  <si>
    <t>EMP0238</t>
  </si>
  <si>
    <t>2023-01-30</t>
  </si>
  <si>
    <t>EMP0239</t>
  </si>
  <si>
    <t>2020-08-24</t>
  </si>
  <si>
    <t>EMP0240</t>
  </si>
  <si>
    <t>2022-09-22</t>
  </si>
  <si>
    <t>EMP0241</t>
  </si>
  <si>
    <t>2021-01-02</t>
  </si>
  <si>
    <t>EMP0242</t>
  </si>
  <si>
    <t>2019-05-12</t>
  </si>
  <si>
    <t>EMP0243</t>
  </si>
  <si>
    <t>2022-03-29</t>
  </si>
  <si>
    <t>EMP0244</t>
  </si>
  <si>
    <t>2020-07-12</t>
  </si>
  <si>
    <t>EMP0245</t>
  </si>
  <si>
    <t>Nikita Sharma</t>
  </si>
  <si>
    <t>2022-03-06</t>
  </si>
  <si>
    <t>EMP0246</t>
  </si>
  <si>
    <t>2023-03-03</t>
  </si>
  <si>
    <t>EMP0247</t>
  </si>
  <si>
    <t>EMP0248</t>
  </si>
  <si>
    <t>2023-08-08</t>
  </si>
  <si>
    <t>EMP0249</t>
  </si>
  <si>
    <t>2022-05-01</t>
  </si>
  <si>
    <t>EMP0250</t>
  </si>
  <si>
    <t>2024-04-07</t>
  </si>
  <si>
    <t>EMP0251</t>
  </si>
  <si>
    <t>2020-04-28</t>
  </si>
  <si>
    <t>EMP0252</t>
  </si>
  <si>
    <t>2021-11-17</t>
  </si>
  <si>
    <t>EMP0253</t>
  </si>
  <si>
    <t>2022-08-26</t>
  </si>
  <si>
    <t>EMP0254</t>
  </si>
  <si>
    <t>EMP0255</t>
  </si>
  <si>
    <t>2019-07-24</t>
  </si>
  <si>
    <t>EMP0256</t>
  </si>
  <si>
    <t>2019-10-25</t>
  </si>
  <si>
    <t>EMP0257</t>
  </si>
  <si>
    <t>2020-07-24</t>
  </si>
  <si>
    <t>EMP0258</t>
  </si>
  <si>
    <t>2019-09-24</t>
  </si>
  <si>
    <t>EMP0259</t>
  </si>
  <si>
    <t>2019-04-27</t>
  </si>
  <si>
    <t>EMP0260</t>
  </si>
  <si>
    <t>2022-08-04</t>
  </si>
  <si>
    <t>EMP0261</t>
  </si>
  <si>
    <t>2022-01-07</t>
  </si>
  <si>
    <t>EMP0262</t>
  </si>
  <si>
    <t>2025-08-07</t>
  </si>
  <si>
    <t>EMP0263</t>
  </si>
  <si>
    <t>2023-04-08</t>
  </si>
  <si>
    <t>EMP0264</t>
  </si>
  <si>
    <t>Aditya Singh</t>
  </si>
  <si>
    <t>2021-02-03</t>
  </si>
  <si>
    <t>EMP0265</t>
  </si>
  <si>
    <t>2025-06-27</t>
  </si>
  <si>
    <t>EMP0266</t>
  </si>
  <si>
    <t>2018-08-06</t>
  </si>
  <si>
    <t>EMP0267</t>
  </si>
  <si>
    <t>2025-10-15</t>
  </si>
  <si>
    <t>EMP0268</t>
  </si>
  <si>
    <t>2021-10-31</t>
  </si>
  <si>
    <t>EMP0269</t>
  </si>
  <si>
    <t>2020-08-30</t>
  </si>
  <si>
    <t>EMP0270</t>
  </si>
  <si>
    <t>2024-03-14</t>
  </si>
  <si>
    <t>EMP0271</t>
  </si>
  <si>
    <t>2021-10-18</t>
  </si>
  <si>
    <t>EMP0272</t>
  </si>
  <si>
    <t>EMP0273</t>
  </si>
  <si>
    <t>2024-08-14</t>
  </si>
  <si>
    <t>EMP0274</t>
  </si>
  <si>
    <t>2019-10-18</t>
  </si>
  <si>
    <t>EMP0275</t>
  </si>
  <si>
    <t>2025-09-03</t>
  </si>
  <si>
    <t>EMP0276</t>
  </si>
  <si>
    <t>Om Verma</t>
  </si>
  <si>
    <t>2023-09-05</t>
  </si>
  <si>
    <t>EMP0277</t>
  </si>
  <si>
    <t>EMP0278</t>
  </si>
  <si>
    <t>2024-05-03</t>
  </si>
  <si>
    <t>EMP0279</t>
  </si>
  <si>
    <t>Vivaan More</t>
  </si>
  <si>
    <t>2021-09-26</t>
  </si>
  <si>
    <t>EMP0280</t>
  </si>
  <si>
    <t>EMP0281</t>
  </si>
  <si>
    <t>EMP0282</t>
  </si>
  <si>
    <t>2018-08-04</t>
  </si>
  <si>
    <t>EMP0283</t>
  </si>
  <si>
    <t>2023-10-19</t>
  </si>
  <si>
    <t>EMP0284</t>
  </si>
  <si>
    <t>Pooja More</t>
  </si>
  <si>
    <t>2024-02-23</t>
  </si>
  <si>
    <t>EMP0285</t>
  </si>
  <si>
    <t>2021-12-30</t>
  </si>
  <si>
    <t>EMP0286</t>
  </si>
  <si>
    <t>Rohan Patil</t>
  </si>
  <si>
    <t>2020-09-21</t>
  </si>
  <si>
    <t>EMP0287</t>
  </si>
  <si>
    <t>2025-07-06</t>
  </si>
  <si>
    <t>EMP0288</t>
  </si>
  <si>
    <t>2018-01-08</t>
  </si>
  <si>
    <t>EMP0289</t>
  </si>
  <si>
    <t>Rohan Sharma</t>
  </si>
  <si>
    <t>2022-05-26</t>
  </si>
  <si>
    <t>EMP0290</t>
  </si>
  <si>
    <t>2025-05-27</t>
  </si>
  <si>
    <t>EMP0291</t>
  </si>
  <si>
    <t>2024-06-15</t>
  </si>
  <si>
    <t>EMP0292</t>
  </si>
  <si>
    <t>2024-05-25</t>
  </si>
  <si>
    <t>EMP0293</t>
  </si>
  <si>
    <t>2024-12-24</t>
  </si>
  <si>
    <t>EMP0294</t>
  </si>
  <si>
    <t>2018-08-17</t>
  </si>
  <si>
    <t>EMP0295</t>
  </si>
  <si>
    <t>EMP0296</t>
  </si>
  <si>
    <t>Aditya Patil</t>
  </si>
  <si>
    <t>2023-09-17</t>
  </si>
  <si>
    <t>EMP0297</t>
  </si>
  <si>
    <t>2020-06-16</t>
  </si>
  <si>
    <t>EMP0298</t>
  </si>
  <si>
    <t>2021-04-26</t>
  </si>
  <si>
    <t>EMP0299</t>
  </si>
  <si>
    <t>2026-03-17</t>
  </si>
  <si>
    <t>EMP0300</t>
  </si>
  <si>
    <t>2022-07-03</t>
  </si>
  <si>
    <t>EMP0301</t>
  </si>
  <si>
    <t>2019-12-01</t>
  </si>
  <si>
    <t>EMP0302</t>
  </si>
  <si>
    <t>2020-01-23</t>
  </si>
  <si>
    <t>EMP0303</t>
  </si>
  <si>
    <t>2020-04-11</t>
  </si>
  <si>
    <t>EMP0304</t>
  </si>
  <si>
    <t>2022-03-21</t>
  </si>
  <si>
    <t>EMP0305</t>
  </si>
  <si>
    <t>2023-03-13</t>
  </si>
  <si>
    <t>EMP0306</t>
  </si>
  <si>
    <t>2026-01-23</t>
  </si>
  <si>
    <t>EMP0307</t>
  </si>
  <si>
    <t>2023-04-15</t>
  </si>
  <si>
    <t>EMP0308</t>
  </si>
  <si>
    <t>2024-01-08</t>
  </si>
  <si>
    <t>EMP0309</t>
  </si>
  <si>
    <t>2019-12-20</t>
  </si>
  <si>
    <t>EMP0310</t>
  </si>
  <si>
    <t>2023-03-09</t>
  </si>
  <si>
    <t>EMP0311</t>
  </si>
  <si>
    <t>2020-09-11</t>
  </si>
  <si>
    <t>EMP0312</t>
  </si>
  <si>
    <t>Nikita Patil</t>
  </si>
  <si>
    <t>2019-04-14</t>
  </si>
  <si>
    <t>EMP0313</t>
  </si>
  <si>
    <t>2021-07-16</t>
  </si>
  <si>
    <t>EMP0314</t>
  </si>
  <si>
    <t>2020-02-29</t>
  </si>
  <si>
    <t>EMP0315</t>
  </si>
  <si>
    <t>2021-08-01</t>
  </si>
  <si>
    <t>EMP0316</t>
  </si>
  <si>
    <t>2026-02-09</t>
  </si>
  <si>
    <t>EMP0317</t>
  </si>
  <si>
    <t>2019-10-03</t>
  </si>
  <si>
    <t>EMP0318</t>
  </si>
  <si>
    <t>2019-12-18</t>
  </si>
  <si>
    <t>EMP0319</t>
  </si>
  <si>
    <t>2025-02-20</t>
  </si>
  <si>
    <t>EMP0320</t>
  </si>
  <si>
    <t>EMP0321</t>
  </si>
  <si>
    <t>2018-08-15</t>
  </si>
  <si>
    <t>EMP0322</t>
  </si>
  <si>
    <t>Riya Singh</t>
  </si>
  <si>
    <t>2019-05-14</t>
  </si>
  <si>
    <t>EMP0323</t>
  </si>
  <si>
    <t>2019-10-27</t>
  </si>
  <si>
    <t>EMP0324</t>
  </si>
  <si>
    <t>Riya More</t>
  </si>
  <si>
    <t>2023-01-26</t>
  </si>
  <si>
    <t>EMP0325</t>
  </si>
  <si>
    <t>2022-12-15</t>
  </si>
  <si>
    <t>EMP0326</t>
  </si>
  <si>
    <t>EMP0327</t>
  </si>
  <si>
    <t>2021-03-24</t>
  </si>
  <si>
    <t>EMP0328</t>
  </si>
  <si>
    <t>2018-11-23</t>
  </si>
  <si>
    <t>EMP0329</t>
  </si>
  <si>
    <t>2020-12-28</t>
  </si>
  <si>
    <t>EMP0330</t>
  </si>
  <si>
    <t>2019-03-30</t>
  </si>
  <si>
    <t>EMP0331</t>
  </si>
  <si>
    <t>2019-08-03</t>
  </si>
  <si>
    <t>EMP0332</t>
  </si>
  <si>
    <t>2025-09-17</t>
  </si>
  <si>
    <t>EMP0333</t>
  </si>
  <si>
    <t>2025-09-09</t>
  </si>
  <si>
    <t>EMP0334</t>
  </si>
  <si>
    <t>2020-08-13</t>
  </si>
  <si>
    <t>EMP0335</t>
  </si>
  <si>
    <t>2021-11-30</t>
  </si>
  <si>
    <t>EMP0336</t>
  </si>
  <si>
    <t>2019-10-28</t>
  </si>
  <si>
    <t>EMP0337</t>
  </si>
  <si>
    <t>Vivaan Singh</t>
  </si>
  <si>
    <t>2025-01-06</t>
  </si>
  <si>
    <t>EMP0338</t>
  </si>
  <si>
    <t>Om Patil</t>
  </si>
  <si>
    <t>2018-09-15</t>
  </si>
  <si>
    <t>EMP0339</t>
  </si>
  <si>
    <t>2023-11-30</t>
  </si>
  <si>
    <t>EMP0340</t>
  </si>
  <si>
    <t>Priya More</t>
  </si>
  <si>
    <t>2020-07-08</t>
  </si>
  <si>
    <t>EMP0341</t>
  </si>
  <si>
    <t>2023-07-31</t>
  </si>
  <si>
    <t>EMP0342</t>
  </si>
  <si>
    <t>2022-08-11</t>
  </si>
  <si>
    <t>EMP0343</t>
  </si>
  <si>
    <t>2022-09-19</t>
  </si>
  <si>
    <t>EMP0344</t>
  </si>
  <si>
    <t>EMP0345</t>
  </si>
  <si>
    <t>2024-04-17</t>
  </si>
  <si>
    <t>EMP0346</t>
  </si>
  <si>
    <t>2025-12-11</t>
  </si>
  <si>
    <t>EMP0347</t>
  </si>
  <si>
    <t>2025-01-27</t>
  </si>
  <si>
    <t>EMP0348</t>
  </si>
  <si>
    <t>Aditya Kale</t>
  </si>
  <si>
    <t>2020-07-29</t>
  </si>
  <si>
    <t>EMP0349</t>
  </si>
  <si>
    <t>2025-05-18</t>
  </si>
  <si>
    <t>EMP0350</t>
  </si>
  <si>
    <t>2022-04-15</t>
  </si>
  <si>
    <t>EMP0351</t>
  </si>
  <si>
    <t>2019-10-30</t>
  </si>
  <si>
    <t>EMP0352</t>
  </si>
  <si>
    <t>2024-02-04</t>
  </si>
  <si>
    <t>EMP0353</t>
  </si>
  <si>
    <t>2021-10-30</t>
  </si>
  <si>
    <t>EMP0354</t>
  </si>
  <si>
    <t>2019-11-23</t>
  </si>
  <si>
    <t>EMP0355</t>
  </si>
  <si>
    <t>2025-06-08</t>
  </si>
  <si>
    <t>EMP0356</t>
  </si>
  <si>
    <t>2023-05-31</t>
  </si>
  <si>
    <t>EMP0357</t>
  </si>
  <si>
    <t>Aditya Jadhav</t>
  </si>
  <si>
    <t>2019-05-10</t>
  </si>
  <si>
    <t>EMP0358</t>
  </si>
  <si>
    <t>Sayali Joshi</t>
  </si>
  <si>
    <t>EMP0359</t>
  </si>
  <si>
    <t>2024-10-04</t>
  </si>
  <si>
    <t>EMP0360</t>
  </si>
  <si>
    <t>2019-06-01</t>
  </si>
  <si>
    <t>EMP0361</t>
  </si>
  <si>
    <t>Om Kale</t>
  </si>
  <si>
    <t>2023-07-20</t>
  </si>
  <si>
    <t>EMP0362</t>
  </si>
  <si>
    <t>2018-10-15</t>
  </si>
  <si>
    <t>EMP0363</t>
  </si>
  <si>
    <t>2024-06-28</t>
  </si>
  <si>
    <t>EMP0364</t>
  </si>
  <si>
    <t>2024-03-28</t>
  </si>
  <si>
    <t>EMP0365</t>
  </si>
  <si>
    <t>2026-03-02</t>
  </si>
  <si>
    <t>EMP0366</t>
  </si>
  <si>
    <t>Vivaan Jadhav</t>
  </si>
  <si>
    <t>2020-08-02</t>
  </si>
  <si>
    <t>EMP0367</t>
  </si>
  <si>
    <t>EMP0368</t>
  </si>
  <si>
    <t>2025-12-01</t>
  </si>
  <si>
    <t>EMP0369</t>
  </si>
  <si>
    <t>Karan More</t>
  </si>
  <si>
    <t>2025-10-14</t>
  </si>
  <si>
    <t>EMP0370</t>
  </si>
  <si>
    <t>2019-10-09</t>
  </si>
  <si>
    <t>EMP0371</t>
  </si>
  <si>
    <t>2024-05-13</t>
  </si>
  <si>
    <t>EMP0372</t>
  </si>
  <si>
    <t>2025-08-20</t>
  </si>
  <si>
    <t>EMP0373</t>
  </si>
  <si>
    <t>2025-08-29</t>
  </si>
  <si>
    <t>EMP0374</t>
  </si>
  <si>
    <t>2020-04-01</t>
  </si>
  <si>
    <t>EMP0375</t>
  </si>
  <si>
    <t>2024-04-09</t>
  </si>
  <si>
    <t>EMP0376</t>
  </si>
  <si>
    <t>2019-11-01</t>
  </si>
  <si>
    <t>EMP0377</t>
  </si>
  <si>
    <t>2019-11-06</t>
  </si>
  <si>
    <t>EMP0378</t>
  </si>
  <si>
    <t>2023-08-15</t>
  </si>
  <si>
    <t>EMP0379</t>
  </si>
  <si>
    <t>Vivaan Sharma</t>
  </si>
  <si>
    <t>2024-08-03</t>
  </si>
  <si>
    <t>EMP0380</t>
  </si>
  <si>
    <t>Ajinkya Joshi</t>
  </si>
  <si>
    <t>2021-08-30</t>
  </si>
  <si>
    <t>EMP0381</t>
  </si>
  <si>
    <t>EMP0382</t>
  </si>
  <si>
    <t>2018-01-05</t>
  </si>
  <si>
    <t>EMP0383</t>
  </si>
  <si>
    <t>2019-03-29</t>
  </si>
  <si>
    <t>EMP0384</t>
  </si>
  <si>
    <t>2023-03-15</t>
  </si>
  <si>
    <t>EMP0385</t>
  </si>
  <si>
    <t>2018-08-29</t>
  </si>
  <si>
    <t>EMP0386</t>
  </si>
  <si>
    <t>Rohan Jadhav</t>
  </si>
  <si>
    <t>2018-01-02</t>
  </si>
  <si>
    <t>EMP0387</t>
  </si>
  <si>
    <t>EMP0388</t>
  </si>
  <si>
    <t>2022-06-19</t>
  </si>
  <si>
    <t>EMP0389</t>
  </si>
  <si>
    <t>Amit Patil</t>
  </si>
  <si>
    <t>EMP0390</t>
  </si>
  <si>
    <t>2025-11-15</t>
  </si>
  <si>
    <t>EMP0391</t>
  </si>
  <si>
    <t>2021-02-23</t>
  </si>
  <si>
    <t>EMP0392</t>
  </si>
  <si>
    <t>2024-12-29</t>
  </si>
  <si>
    <t>EMP0393</t>
  </si>
  <si>
    <t>2022-11-29</t>
  </si>
  <si>
    <t>EMP0394</t>
  </si>
  <si>
    <t>2023-08-07</t>
  </si>
  <si>
    <t>EMP0395</t>
  </si>
  <si>
    <t>2021-06-04</t>
  </si>
  <si>
    <t>EMP0396</t>
  </si>
  <si>
    <t>2018-12-25</t>
  </si>
  <si>
    <t>EMP0397</t>
  </si>
  <si>
    <t>2025-04-12</t>
  </si>
  <si>
    <t>EMP0398</t>
  </si>
  <si>
    <t>2022-09-21</t>
  </si>
  <si>
    <t>EMP0399</t>
  </si>
  <si>
    <t>2025-05-29</t>
  </si>
  <si>
    <t>EMP0400</t>
  </si>
  <si>
    <t>2021-05-20</t>
  </si>
  <si>
    <t>EMP0401</t>
  </si>
  <si>
    <t>2022-03-04</t>
  </si>
  <si>
    <t>EMP0402</t>
  </si>
  <si>
    <t>2021-05-22</t>
  </si>
  <si>
    <t>EMP0403</t>
  </si>
  <si>
    <t>2023-10-24</t>
  </si>
  <si>
    <t>EMP0404</t>
  </si>
  <si>
    <t>2021-12-20</t>
  </si>
  <si>
    <t>EMP0405</t>
  </si>
  <si>
    <t>Sakshi Patil</t>
  </si>
  <si>
    <t>2019-06-25</t>
  </si>
  <si>
    <t>EMP0406</t>
  </si>
  <si>
    <t>2023-01-21</t>
  </si>
  <si>
    <t>EMP0407</t>
  </si>
  <si>
    <t>2018-12-13</t>
  </si>
  <si>
    <t>EMP0408</t>
  </si>
  <si>
    <t>2019-07-14</t>
  </si>
  <si>
    <t>EMP0409</t>
  </si>
  <si>
    <t>EMP0410</t>
  </si>
  <si>
    <t>2023-12-27</t>
  </si>
  <si>
    <t>EMP0411</t>
  </si>
  <si>
    <t>EMP0412</t>
  </si>
  <si>
    <t>2018-09-30</t>
  </si>
  <si>
    <t>EMP0413</t>
  </si>
  <si>
    <t>2020-01-12</t>
  </si>
  <si>
    <t>EMP0414</t>
  </si>
  <si>
    <t>2022-10-03</t>
  </si>
  <si>
    <t>EMP0415</t>
  </si>
  <si>
    <t>2023-08-11</t>
  </si>
  <si>
    <t>EMP0416</t>
  </si>
  <si>
    <t>EMP0417</t>
  </si>
  <si>
    <t>2019-03-12</t>
  </si>
  <si>
    <t>EMP0418</t>
  </si>
  <si>
    <t>2024-08-19</t>
  </si>
  <si>
    <t>EMP0419</t>
  </si>
  <si>
    <t>2023-01-18</t>
  </si>
  <si>
    <t>EMP0420</t>
  </si>
  <si>
    <t>2019-09-18</t>
  </si>
  <si>
    <t>EMP0421</t>
  </si>
  <si>
    <t>EMP0422</t>
  </si>
  <si>
    <t>2019-07-13</t>
  </si>
  <si>
    <t>EMP0423</t>
  </si>
  <si>
    <t>Sneha Sharma</t>
  </si>
  <si>
    <t>2022-12-16</t>
  </si>
  <si>
    <t>EMP0424</t>
  </si>
  <si>
    <t>Vivaan Joshi</t>
  </si>
  <si>
    <t>2024-06-26</t>
  </si>
  <si>
    <t>EMP0425</t>
  </si>
  <si>
    <t>2019-10-04</t>
  </si>
  <si>
    <t>EMP0426</t>
  </si>
  <si>
    <t>EMP0427</t>
  </si>
  <si>
    <t>2021-06-08</t>
  </si>
  <si>
    <t>EMP0428</t>
  </si>
  <si>
    <t>Ajinkya Singh</t>
  </si>
  <si>
    <t>2023-01-27</t>
  </si>
  <si>
    <t>EMP0429</t>
  </si>
  <si>
    <t>EMP0430</t>
  </si>
  <si>
    <t>2022-05-05</t>
  </si>
  <si>
    <t>EMP0431</t>
  </si>
  <si>
    <t>2023-10-27</t>
  </si>
  <si>
    <t>EMP0432</t>
  </si>
  <si>
    <t>2022-12-26</t>
  </si>
  <si>
    <t>EMP0433</t>
  </si>
  <si>
    <t>2023-04-24</t>
  </si>
  <si>
    <t>EMP0434</t>
  </si>
  <si>
    <t>2019-08-13</t>
  </si>
  <si>
    <t>EMP0435</t>
  </si>
  <si>
    <t>2024-01-30</t>
  </si>
  <si>
    <t>EMP0436</t>
  </si>
  <si>
    <t>2019-05-07</t>
  </si>
  <si>
    <t>EMP0437</t>
  </si>
  <si>
    <t>2019-09-26</t>
  </si>
  <si>
    <t>EMP0438</t>
  </si>
  <si>
    <t>2022-09-07</t>
  </si>
  <si>
    <t>EMP0439</t>
  </si>
  <si>
    <t>EMP0440</t>
  </si>
  <si>
    <t>2021-10-28</t>
  </si>
  <si>
    <t>EMP0441</t>
  </si>
  <si>
    <t>2021-10-11</t>
  </si>
  <si>
    <t>EMP0442</t>
  </si>
  <si>
    <t>2021-02-11</t>
  </si>
  <si>
    <t>EMP0443</t>
  </si>
  <si>
    <t>2021-10-25</t>
  </si>
  <si>
    <t>EMP0444</t>
  </si>
  <si>
    <t>2019-11-11</t>
  </si>
  <si>
    <t>EMP0445</t>
  </si>
  <si>
    <t>2022-02-13</t>
  </si>
  <si>
    <t>EMP0446</t>
  </si>
  <si>
    <t>2024-01-28</t>
  </si>
  <si>
    <t>EMP0447</t>
  </si>
  <si>
    <t>2022-12-29</t>
  </si>
  <si>
    <t>EMP0448</t>
  </si>
  <si>
    <t>2020-01-03</t>
  </si>
  <si>
    <t>EMP0449</t>
  </si>
  <si>
    <t>2018-05-20</t>
  </si>
  <si>
    <t>EMP0450</t>
  </si>
  <si>
    <t>2023-09-19</t>
  </si>
  <si>
    <t>EMP0451</t>
  </si>
  <si>
    <t>EMP0452</t>
  </si>
  <si>
    <t>Sayali More</t>
  </si>
  <si>
    <t>2023-01-10</t>
  </si>
  <si>
    <t>EMP0453</t>
  </si>
  <si>
    <t>2018-09-27</t>
  </si>
  <si>
    <t>EMP0454</t>
  </si>
  <si>
    <t>2019-07-03</t>
  </si>
  <si>
    <t>EMP0455</t>
  </si>
  <si>
    <t>2023-05-19</t>
  </si>
  <si>
    <t>EMP0456</t>
  </si>
  <si>
    <t>EMP0457</t>
  </si>
  <si>
    <t>2022-03-05</t>
  </si>
  <si>
    <t>EMP0458</t>
  </si>
  <si>
    <t>2024-02-24</t>
  </si>
  <si>
    <t>EMP0459</t>
  </si>
  <si>
    <t>EMP0460</t>
  </si>
  <si>
    <t>2025-10-06</t>
  </si>
  <si>
    <t>EMP0461</t>
  </si>
  <si>
    <t>2020-12-13</t>
  </si>
  <si>
    <t>EMP0462</t>
  </si>
  <si>
    <t>2019-11-18</t>
  </si>
  <si>
    <t>EMP0463</t>
  </si>
  <si>
    <t>2024-07-13</t>
  </si>
  <si>
    <t>EMP0464</t>
  </si>
  <si>
    <t>2020-03-05</t>
  </si>
  <si>
    <t>EMP0465</t>
  </si>
  <si>
    <t>Karan Verma</t>
  </si>
  <si>
    <t>2018-12-12</t>
  </si>
  <si>
    <t>EMP0466</t>
  </si>
  <si>
    <t>2022-08-14</t>
  </si>
  <si>
    <t>EMP0467</t>
  </si>
  <si>
    <t>2023-12-18</t>
  </si>
  <si>
    <t>EMP0468</t>
  </si>
  <si>
    <t>EMP0469</t>
  </si>
  <si>
    <t>2022-01-30</t>
  </si>
  <si>
    <t>EMP0470</t>
  </si>
  <si>
    <t>2021-01-18</t>
  </si>
  <si>
    <t>EMP0471</t>
  </si>
  <si>
    <t>EMP0472</t>
  </si>
  <si>
    <t>2024-05-04</t>
  </si>
  <si>
    <t>EMP0473</t>
  </si>
  <si>
    <t>2021-09-25</t>
  </si>
  <si>
    <t>EMP0474</t>
  </si>
  <si>
    <t>EMP0475</t>
  </si>
  <si>
    <t>2024-09-30</t>
  </si>
  <si>
    <t>EMP0476</t>
  </si>
  <si>
    <t>2023-06-22</t>
  </si>
  <si>
    <t>EMP0477</t>
  </si>
  <si>
    <t>EMP0478</t>
  </si>
  <si>
    <t>2024-04-25</t>
  </si>
  <si>
    <t>EMP0479</t>
  </si>
  <si>
    <t>2019-11-27</t>
  </si>
  <si>
    <t>EMP0480</t>
  </si>
  <si>
    <t>2023-02-26</t>
  </si>
  <si>
    <t>EMP0481</t>
  </si>
  <si>
    <t>EMP0482</t>
  </si>
  <si>
    <t>2022-07-10</t>
  </si>
  <si>
    <t>EMP0483</t>
  </si>
  <si>
    <t>2020-04-17</t>
  </si>
  <si>
    <t>EMP0484</t>
  </si>
  <si>
    <t>2018-08-21</t>
  </si>
  <si>
    <t>EMP0485</t>
  </si>
  <si>
    <t>EMP0486</t>
  </si>
  <si>
    <t>2025-04-05</t>
  </si>
  <si>
    <t>EMP0487</t>
  </si>
  <si>
    <t>EMP0488</t>
  </si>
  <si>
    <t>2019-06-05</t>
  </si>
  <si>
    <t>EMP0489</t>
  </si>
  <si>
    <t>EMP0490</t>
  </si>
  <si>
    <t>2018-01-17</t>
  </si>
  <si>
    <t>EMP0491</t>
  </si>
  <si>
    <t>2022-04-19</t>
  </si>
  <si>
    <t>EMP0492</t>
  </si>
  <si>
    <t>2019-03-10</t>
  </si>
  <si>
    <t>EMP0493</t>
  </si>
  <si>
    <t>2021-04-03</t>
  </si>
  <si>
    <t>EMP0494</t>
  </si>
  <si>
    <t>2025-05-10</t>
  </si>
  <si>
    <t>EMP0495</t>
  </si>
  <si>
    <t>2022-05-14</t>
  </si>
  <si>
    <t>EMP0496</t>
  </si>
  <si>
    <t>2022-08-03</t>
  </si>
  <si>
    <t>EMP0497</t>
  </si>
  <si>
    <t>2018-10-24</t>
  </si>
  <si>
    <t>EMP0498</t>
  </si>
  <si>
    <t>2024-05-16</t>
  </si>
  <si>
    <t>EMP0499</t>
  </si>
  <si>
    <t>2024-09-05</t>
  </si>
  <si>
    <t>EMP0500</t>
  </si>
  <si>
    <t>2020-03-19</t>
  </si>
  <si>
    <t>Departments</t>
  </si>
  <si>
    <t>Cities</t>
  </si>
  <si>
    <t>Ratings</t>
  </si>
  <si>
    <t>Managers</t>
  </si>
  <si>
    <t>Column1</t>
  </si>
  <si>
    <t>Row Labels</t>
  </si>
  <si>
    <t>Grand Total</t>
  </si>
  <si>
    <t>Sum of Salary</t>
  </si>
  <si>
    <t>Count of Employee_Name</t>
  </si>
  <si>
    <t>Count of Employee_ID</t>
  </si>
  <si>
    <t>EMPLOYEE PERFORMANCE &amp; ANALYSIS DASHBOARD</t>
  </si>
  <si>
    <t>HR Workforce Insights &amp; Interactive Analytics</t>
  </si>
  <si>
    <t>TOTAL EMPLOYEES</t>
  </si>
  <si>
    <t>AVERAGE SALARY</t>
  </si>
  <si>
    <t>HIGHEST SALARY</t>
  </si>
  <si>
    <t>TOTAL  DEPARTMENT</t>
  </si>
  <si>
    <t>0-2</t>
  </si>
  <si>
    <t>3-5</t>
  </si>
  <si>
    <t>6-8</t>
  </si>
  <si>
    <t>9-11</t>
  </si>
  <si>
    <t>12-15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</si>
</sst>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4" x14ac:knownFonts="1">
    <font>
      <sz val="11"/>
      <color theme="1"/>
      <name val="Calibri"/>
      <family val="2"/>
      <scheme val="minor"/>
    </font>
    <font>
      <sz val="8"/>
      <name val="Calibri"/>
      <family val="2"/>
      <scheme val="minor"/>
    </font>
    <font>
      <b/>
      <sz val="22"/>
      <color theme="0"/>
      <name val="Calibri"/>
      <family val="2"/>
      <scheme val="minor"/>
    </font>
    <font>
      <b/>
      <sz val="12"/>
      <color rgb="FF0070C0"/>
      <name val="Calibri"/>
      <family val="2"/>
      <scheme val="minor"/>
    </font>
    <font>
      <b/>
      <sz val="20"/>
      <color rgb="FF0070C0"/>
      <name val="Calibri"/>
      <family val="2"/>
      <scheme val="minor"/>
    </font>
    <font>
      <b/>
      <sz val="12"/>
      <color rgb="FF92D050"/>
      <name val="Calibri"/>
      <family val="2"/>
      <scheme val="minor"/>
    </font>
    <font>
      <sz val="18"/>
      <color rgb="FF92D050"/>
      <name val="Calibri"/>
      <family val="2"/>
      <scheme val="minor"/>
    </font>
    <font>
      <b/>
      <sz val="11"/>
      <color theme="1"/>
      <name val="Calibri"/>
      <family val="2"/>
      <scheme val="minor"/>
    </font>
    <font>
      <b/>
      <sz val="12"/>
      <color rgb="FFFF0000"/>
      <name val="Calibri"/>
      <family val="2"/>
      <scheme val="minor"/>
    </font>
    <font>
      <b/>
      <sz val="18"/>
      <color rgb="FFFF0000"/>
      <name val="Calibri"/>
      <family val="2"/>
      <scheme val="minor"/>
    </font>
    <font>
      <sz val="11"/>
      <color theme="3"/>
      <name val="Calibri"/>
      <family val="2"/>
      <scheme val="minor"/>
    </font>
    <font>
      <b/>
      <sz val="12"/>
      <color theme="3"/>
      <name val="Calibri"/>
      <family val="2"/>
      <scheme val="minor"/>
    </font>
    <font>
      <b/>
      <sz val="18"/>
      <color theme="3"/>
      <name val="Calibri"/>
      <family val="2"/>
      <scheme val="minor"/>
    </font>
    <font>
      <i/>
      <sz val="16"/>
      <color theme="0"/>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theme="7"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s>
  <cellStyleXfs count="1">
    <xf numFmtId="0" fontId="0" fillId="0" borderId="0"/>
  </cellStyleXfs>
  <cellXfs count="52">
    <xf numFmtId="0" fontId="0" fillId="0" borderId="0" xfId="0"/>
    <xf numFmtId="0" fontId="0" fillId="0" borderId="1" xfId="0" applyBorder="1"/>
    <xf numFmtId="0" fontId="0" fillId="3" borderId="2" xfId="0" applyFill="1" applyBorder="1"/>
    <xf numFmtId="0" fontId="0" fillId="3" borderId="3" xfId="0" applyFill="1" applyBorder="1"/>
    <xf numFmtId="0" fontId="0" fillId="0" borderId="4" xfId="0" applyBorder="1"/>
    <xf numFmtId="0" fontId="0" fillId="0" borderId="6" xfId="0" applyBorder="1"/>
    <xf numFmtId="0" fontId="0" fillId="0" borderId="7" xfId="0" applyBorder="1"/>
    <xf numFmtId="0" fontId="0" fillId="2" borderId="8" xfId="0" applyFill="1" applyBorder="1"/>
    <xf numFmtId="0" fontId="0" fillId="2" borderId="5" xfId="0" applyFill="1" applyBorder="1"/>
    <xf numFmtId="0" fontId="0" fillId="2" borderId="9" xfId="0" applyFill="1" applyBorder="1"/>
    <xf numFmtId="0" fontId="0" fillId="0" borderId="10" xfId="0" applyBorder="1"/>
    <xf numFmtId="0" fontId="0" fillId="0" borderId="11" xfId="0" applyBorder="1"/>
    <xf numFmtId="0" fontId="0" fillId="0" borderId="1" xfId="0" pivotButton="1" applyBorder="1"/>
    <xf numFmtId="0" fontId="0" fillId="0" borderId="1" xfId="0" applyBorder="1" applyAlignment="1">
      <alignment horizontal="left"/>
    </xf>
    <xf numFmtId="0" fontId="0" fillId="3" borderId="0" xfId="0" applyFill="1" applyAlignment="1">
      <alignment horizontal="center"/>
    </xf>
    <xf numFmtId="0" fontId="0" fillId="3" borderId="0" xfId="0" applyFill="1" applyAlignment="1">
      <alignment horizontal="center" vertical="top"/>
    </xf>
    <xf numFmtId="0" fontId="11" fillId="0" borderId="11" xfId="0" applyFont="1" applyBorder="1" applyAlignment="1">
      <alignment horizontal="center"/>
    </xf>
    <xf numFmtId="0" fontId="10" fillId="0" borderId="3" xfId="0" applyFont="1" applyBorder="1" applyAlignment="1">
      <alignment horizontal="center"/>
    </xf>
    <xf numFmtId="0" fontId="10" fillId="0" borderId="10" xfId="0" applyFont="1" applyBorder="1" applyAlignment="1">
      <alignment horizontal="center"/>
    </xf>
    <xf numFmtId="0" fontId="12" fillId="0" borderId="13" xfId="0" applyFont="1" applyBorder="1" applyAlignment="1">
      <alignment horizontal="center" vertical="top"/>
    </xf>
    <xf numFmtId="0" fontId="12" fillId="0" borderId="0" xfId="0" applyFont="1" applyAlignment="1">
      <alignment horizontal="center" vertical="top"/>
    </xf>
    <xf numFmtId="0" fontId="12" fillId="0" borderId="12" xfId="0" applyFont="1" applyBorder="1" applyAlignment="1">
      <alignment horizontal="center" vertical="top"/>
    </xf>
    <xf numFmtId="0" fontId="12" fillId="0" borderId="9" xfId="0" applyFont="1" applyBorder="1" applyAlignment="1">
      <alignment horizontal="center" vertical="top"/>
    </xf>
    <xf numFmtId="0" fontId="12" fillId="0" borderId="2" xfId="0" applyFont="1" applyBorder="1" applyAlignment="1">
      <alignment horizontal="center" vertical="top"/>
    </xf>
    <xf numFmtId="0" fontId="12" fillId="0" borderId="8" xfId="0" applyFont="1" applyBorder="1" applyAlignment="1">
      <alignment horizontal="center" vertical="top"/>
    </xf>
    <xf numFmtId="0" fontId="2" fillId="4" borderId="0" xfId="0" applyFont="1" applyFill="1" applyAlignment="1">
      <alignment horizontal="center"/>
    </xf>
    <xf numFmtId="0" fontId="13" fillId="4" borderId="0" xfId="0" applyFont="1" applyFill="1" applyAlignment="1">
      <alignment horizontal="center" vertical="top"/>
    </xf>
    <xf numFmtId="0" fontId="3" fillId="0" borderId="11" xfId="0" applyFont="1" applyBorder="1" applyAlignment="1">
      <alignment horizontal="center"/>
    </xf>
    <xf numFmtId="0" fontId="0" fillId="0" borderId="3" xfId="0" applyBorder="1" applyAlignment="1">
      <alignment horizontal="center"/>
    </xf>
    <xf numFmtId="0" fontId="0" fillId="0" borderId="10" xfId="0" applyBorder="1" applyAlignment="1">
      <alignment horizontal="center"/>
    </xf>
    <xf numFmtId="0" fontId="4" fillId="0" borderId="0" xfId="0" applyFont="1" applyAlignment="1">
      <alignment horizontal="center" vertical="top"/>
    </xf>
    <xf numFmtId="0" fontId="4" fillId="0" borderId="12" xfId="0" applyFont="1" applyBorder="1" applyAlignment="1">
      <alignment horizontal="center" vertical="top"/>
    </xf>
    <xf numFmtId="0" fontId="4" fillId="0" borderId="2" xfId="0" applyFont="1" applyBorder="1" applyAlignment="1">
      <alignment horizontal="center" vertical="top"/>
    </xf>
    <xf numFmtId="0" fontId="4" fillId="0" borderId="8" xfId="0" applyFont="1" applyBorder="1" applyAlignment="1">
      <alignment horizontal="center" vertical="top"/>
    </xf>
    <xf numFmtId="0" fontId="5" fillId="0" borderId="11" xfId="0" applyFont="1" applyBorder="1" applyAlignment="1">
      <alignment horizontal="center"/>
    </xf>
    <xf numFmtId="0" fontId="5" fillId="0" borderId="3" xfId="0" applyFont="1" applyBorder="1" applyAlignment="1">
      <alignment horizontal="center"/>
    </xf>
    <xf numFmtId="0" fontId="5" fillId="0" borderId="10" xfId="0" applyFont="1" applyBorder="1" applyAlignment="1">
      <alignment horizontal="center"/>
    </xf>
    <xf numFmtId="164" fontId="6" fillId="0" borderId="13" xfId="0" applyNumberFormat="1" applyFont="1" applyBorder="1" applyAlignment="1">
      <alignment horizontal="center" vertical="top"/>
    </xf>
    <xf numFmtId="164" fontId="6" fillId="0" borderId="0" xfId="0" applyNumberFormat="1" applyFont="1" applyAlignment="1">
      <alignment horizontal="center" vertical="top"/>
    </xf>
    <xf numFmtId="164" fontId="6" fillId="0" borderId="12" xfId="0" applyNumberFormat="1" applyFont="1" applyBorder="1" applyAlignment="1">
      <alignment horizontal="center" vertical="top"/>
    </xf>
    <xf numFmtId="164" fontId="6" fillId="0" borderId="9" xfId="0" applyNumberFormat="1" applyFont="1" applyBorder="1" applyAlignment="1">
      <alignment horizontal="center" vertical="top"/>
    </xf>
    <xf numFmtId="164" fontId="6" fillId="0" borderId="2" xfId="0" applyNumberFormat="1" applyFont="1" applyBorder="1" applyAlignment="1">
      <alignment horizontal="center" vertical="top"/>
    </xf>
    <xf numFmtId="164" fontId="6" fillId="0" borderId="8" xfId="0" applyNumberFormat="1" applyFont="1" applyBorder="1" applyAlignment="1">
      <alignment horizontal="center" vertical="top"/>
    </xf>
    <xf numFmtId="0" fontId="8" fillId="0" borderId="11" xfId="0" applyFont="1" applyBorder="1" applyAlignment="1">
      <alignment horizontal="center"/>
    </xf>
    <xf numFmtId="0" fontId="7" fillId="0" borderId="3" xfId="0" applyFont="1" applyBorder="1" applyAlignment="1">
      <alignment horizontal="center"/>
    </xf>
    <xf numFmtId="0" fontId="7" fillId="0" borderId="10" xfId="0" applyFont="1" applyBorder="1" applyAlignment="1">
      <alignment horizontal="center"/>
    </xf>
    <xf numFmtId="164" fontId="9" fillId="0" borderId="13" xfId="0" applyNumberFormat="1" applyFont="1" applyBorder="1" applyAlignment="1">
      <alignment horizontal="center" vertical="top"/>
    </xf>
    <xf numFmtId="164" fontId="9" fillId="0" borderId="0" xfId="0" applyNumberFormat="1" applyFont="1" applyAlignment="1">
      <alignment horizontal="center" vertical="top"/>
    </xf>
    <xf numFmtId="164" fontId="9" fillId="0" borderId="12" xfId="0" applyNumberFormat="1" applyFont="1" applyBorder="1" applyAlignment="1">
      <alignment horizontal="center" vertical="top"/>
    </xf>
    <xf numFmtId="164" fontId="9" fillId="0" borderId="9" xfId="0" applyNumberFormat="1" applyFont="1" applyBorder="1" applyAlignment="1">
      <alignment horizontal="center" vertical="top"/>
    </xf>
    <xf numFmtId="164" fontId="9" fillId="0" borderId="2" xfId="0" applyNumberFormat="1" applyFont="1" applyBorder="1" applyAlignment="1">
      <alignment horizontal="center" vertical="top"/>
    </xf>
    <xf numFmtId="164" fontId="9" fillId="0" borderId="8" xfId="0" applyNumberFormat="1" applyFont="1" applyBorder="1" applyAlignment="1">
      <alignment horizontal="center" vertical="top"/>
    </xf>
  </cellXfs>
  <cellStyles count="1">
    <cellStyle name="Normal" xfId="0" builtinId="0"/>
  </cellStyles>
  <dxfs count="7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9" tint="0.59999389629810485"/>
        </patternFill>
      </fill>
      <border diagonalUp="0" diagonalDown="0" outline="0">
        <left style="thin">
          <color indexed="64"/>
        </left>
        <right style="thin">
          <color indexed="64"/>
        </right>
        <top/>
        <bottom/>
      </border>
    </dxf>
    <dxf>
      <fill>
        <patternFill patternType="solid">
          <fgColor indexed="64"/>
          <bgColor theme="0"/>
        </patternFill>
      </fill>
      <border diagonalUp="0" diagonalDown="0">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dxf>
    <dxf>
      <border>
        <bottom style="thin">
          <color indexed="64"/>
        </bottom>
      </border>
    </dxf>
    <dxf>
      <fill>
        <patternFill patternType="solid">
          <fgColor indexed="64"/>
          <bgColor theme="0"/>
        </patternFill>
      </fill>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colors>
    <mruColors>
      <color rgb="FF1A6A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[dashboard.xlsx]Pivot!Gender distribution</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GENDER</a:t>
            </a:r>
            <a:r>
              <a:rPr lang="en-IN" sz="1600" b="1" baseline="0">
                <a:solidFill>
                  <a:schemeClr val="tx1"/>
                </a:solidFill>
              </a:rPr>
              <a:t> DISTRIBUTION</a:t>
            </a:r>
            <a:endParaRPr lang="en-IN" sz="1600" b="1">
              <a:solidFill>
                <a:schemeClr val="tx1"/>
              </a:solidFill>
            </a:endParaRPr>
          </a:p>
        </c:rich>
      </c:tx>
      <c:layout>
        <c:manualLayout>
          <c:xMode val="edge"/>
          <c:yMode val="edge"/>
          <c:x val="0.2403193350831146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6184566887339719"/>
              <c:y val="5.5110637212015173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601E6E08-4198-4554-95A6-19915E6CDAE5}" type="VALUE">
                  <a:rPr lang="en-US" b="0"/>
                  <a:pPr>
                    <a:defRPr>
                      <a:solidFill>
                        <a:schemeClr val="bg1"/>
                      </a:solidFill>
                    </a:defRPr>
                  </a:pPr>
                  <a:t>[VALUE]</a:t>
                </a:fld>
                <a:r>
                  <a:rPr lang="en-US" b="0" baseline="0"/>
                  <a:t>, (</a:t>
                </a:r>
                <a:fld id="{6D4CDED5-572A-4429-895D-FD4D94CBA998}" type="PERCENTAGE">
                  <a:rPr lang="en-US" b="0" baseline="0"/>
                  <a:pPr>
                    <a:defRPr>
                      <a:solidFill>
                        <a:schemeClr val="bg1"/>
                      </a:solidFill>
                    </a:defRPr>
                  </a:pPr>
                  <a:t>[PERCENTAGE]</a:t>
                </a:fld>
                <a:r>
                  <a:rPr lang="en-US" b="0" baseline="0"/>
                  <a:t>)</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0751709380276508"/>
                  <c:h val="0.18974555263925341"/>
                </c:manualLayout>
              </c15:layout>
              <c15:dlblFieldTable/>
              <c15:showDataLabelsRange val="0"/>
            </c:ext>
          </c:extLst>
        </c:dLbl>
      </c:pivotFmt>
      <c:pivotFmt>
        <c:idx val="4"/>
        <c:spPr>
          <a:solidFill>
            <a:srgbClr val="FFC000"/>
          </a:solidFill>
          <a:ln w="19050">
            <a:solidFill>
              <a:schemeClr val="lt1"/>
            </a:solidFill>
          </a:ln>
          <a:effectLst/>
        </c:spPr>
        <c:dLbl>
          <c:idx val="0"/>
          <c:layout>
            <c:manualLayout>
              <c:x val="0.18637650389242746"/>
              <c:y val="1.5984251968503938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21BA4E15-7474-4587-93E4-A77082B391A0}" type="VALUE">
                  <a:rPr lang="en-US" b="1"/>
                  <a:pPr>
                    <a:defRPr b="1">
                      <a:solidFill>
                        <a:schemeClr val="bg1"/>
                      </a:solidFill>
                    </a:defRPr>
                  </a:pPr>
                  <a:t>[VALUE]</a:t>
                </a:fld>
                <a:r>
                  <a:rPr lang="en-US" b="1" baseline="0"/>
                  <a:t>, (</a:t>
                </a:r>
                <a:fld id="{BD742E41-C633-4ADE-B477-C11CC07AF05D}" type="PERCENTAGE">
                  <a:rPr lang="en-US" b="1" baseline="0"/>
                  <a:pPr>
                    <a:defRPr b="1">
                      <a:solidFill>
                        <a:schemeClr val="bg1"/>
                      </a:solidFill>
                    </a:defRPr>
                  </a:pPr>
                  <a:t>[PERCENTAGE]</a:t>
                </a:fld>
                <a:r>
                  <a:rPr lang="en-US" b="1" baseline="0"/>
                  <a:t>)</a:t>
                </a: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0608634111818825"/>
                  <c:h val="0.14583333333333334"/>
                </c:manualLayout>
              </c15:layout>
              <c15:dlblFieldTable/>
              <c15:showDataLabelsRange val="0"/>
            </c:ext>
          </c:extLst>
        </c:dLbl>
      </c:pivotFmt>
    </c:pivotFmts>
    <c:plotArea>
      <c:layout>
        <c:manualLayout>
          <c:layoutTarget val="inner"/>
          <c:xMode val="edge"/>
          <c:yMode val="edge"/>
          <c:x val="0.23053258967629045"/>
          <c:y val="0.18300925925925926"/>
          <c:w val="0.45963888888888887"/>
          <c:h val="0.76606481481481481"/>
        </c:manualLayout>
      </c:layout>
      <c:pieChart>
        <c:varyColors val="1"/>
        <c:ser>
          <c:idx val="0"/>
          <c:order val="0"/>
          <c:tx>
            <c:strRef>
              <c:f>Pivot!$H$2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D5-4EB4-8E0A-EF76B096EF21}"/>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4CD5-4EB4-8E0A-EF76B096EF21}"/>
              </c:ext>
            </c:extLst>
          </c:dPt>
          <c:dLbls>
            <c:dLbl>
              <c:idx val="0"/>
              <c:layout>
                <c:manualLayout>
                  <c:x val="-0.16184566887339719"/>
                  <c:y val="5.5110637212015173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601E6E08-4198-4554-95A6-19915E6CDAE5}" type="VALUE">
                      <a:rPr lang="en-US" b="0"/>
                      <a:pPr>
                        <a:defRPr>
                          <a:solidFill>
                            <a:schemeClr val="bg1"/>
                          </a:solidFill>
                        </a:defRPr>
                      </a:pPr>
                      <a:t>[VALUE]</a:t>
                    </a:fld>
                    <a:r>
                      <a:rPr lang="en-US" b="0" baseline="0"/>
                      <a:t>, (</a:t>
                    </a:r>
                    <a:fld id="{6D4CDED5-572A-4429-895D-FD4D94CBA998}" type="PERCENTAGE">
                      <a:rPr lang="en-US" b="0" baseline="0"/>
                      <a:pPr>
                        <a:defRPr>
                          <a:solidFill>
                            <a:schemeClr val="bg1"/>
                          </a:solidFill>
                        </a:defRPr>
                      </a:pPr>
                      <a:t>[PERCENTAGE]</a:t>
                    </a:fld>
                    <a:r>
                      <a:rPr lang="en-US" b="0" baseline="0"/>
                      <a:t>)</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0751709380276508"/>
                      <c:h val="0.18974555263925341"/>
                    </c:manualLayout>
                  </c15:layout>
                  <c15:dlblFieldTable/>
                  <c15:showDataLabelsRange val="0"/>
                </c:ext>
                <c:ext xmlns:c16="http://schemas.microsoft.com/office/drawing/2014/chart" uri="{C3380CC4-5D6E-409C-BE32-E72D297353CC}">
                  <c16:uniqueId val="{00000001-4CD5-4EB4-8E0A-EF76B096EF21}"/>
                </c:ext>
              </c:extLst>
            </c:dLbl>
            <c:dLbl>
              <c:idx val="1"/>
              <c:layout>
                <c:manualLayout>
                  <c:x val="0.18637650389242746"/>
                  <c:y val="1.5984251968503938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21BA4E15-7474-4587-93E4-A77082B391A0}" type="VALUE">
                      <a:rPr lang="en-US" b="1"/>
                      <a:pPr>
                        <a:defRPr b="1">
                          <a:solidFill>
                            <a:schemeClr val="bg1"/>
                          </a:solidFill>
                        </a:defRPr>
                      </a:pPr>
                      <a:t>[VALUE]</a:t>
                    </a:fld>
                    <a:r>
                      <a:rPr lang="en-US" b="1" baseline="0"/>
                      <a:t>, (</a:t>
                    </a:r>
                    <a:fld id="{BD742E41-C633-4ADE-B477-C11CC07AF05D}" type="PERCENTAGE">
                      <a:rPr lang="en-US" b="1" baseline="0"/>
                      <a:pPr>
                        <a:defRPr b="1">
                          <a:solidFill>
                            <a:schemeClr val="bg1"/>
                          </a:solidFill>
                        </a:defRPr>
                      </a:pPr>
                      <a:t>[PERCENTAGE]</a:t>
                    </a:fld>
                    <a:r>
                      <a:rPr lang="en-US" b="1" baseline="0"/>
                      <a:t>)</a:t>
                    </a: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0608634111818825"/>
                      <c:h val="0.14583333333333334"/>
                    </c:manualLayout>
                  </c15:layout>
                  <c15:dlblFieldTable/>
                  <c15:showDataLabelsRange val="0"/>
                </c:ext>
                <c:ext xmlns:c16="http://schemas.microsoft.com/office/drawing/2014/chart" uri="{C3380CC4-5D6E-409C-BE32-E72D297353CC}">
                  <c16:uniqueId val="{00000003-4CD5-4EB4-8E0A-EF76B096EF2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Pivot!$G$3:$G$5</c:f>
              <c:strCache>
                <c:ptCount val="2"/>
                <c:pt idx="0">
                  <c:v>Female</c:v>
                </c:pt>
                <c:pt idx="1">
                  <c:v>Male</c:v>
                </c:pt>
              </c:strCache>
            </c:strRef>
          </c:cat>
          <c:val>
            <c:numRef>
              <c:f>Pivot!$H$3:$H$5</c:f>
              <c:numCache>
                <c:formatCode>General</c:formatCode>
                <c:ptCount val="2"/>
                <c:pt idx="0">
                  <c:v>239</c:v>
                </c:pt>
                <c:pt idx="1">
                  <c:v>261</c:v>
                </c:pt>
              </c:numCache>
            </c:numRef>
          </c:val>
          <c:extLst>
            <c:ext xmlns:c16="http://schemas.microsoft.com/office/drawing/2014/chart" uri="{C3380CC4-5D6E-409C-BE32-E72D297353CC}">
              <c16:uniqueId val="{00000004-4CD5-4EB4-8E0A-EF76B096EF2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[dashboard.xlsx]Pivot!depth wise employee count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DEPARTMENT-WISE</a:t>
            </a:r>
            <a:r>
              <a:rPr lang="en-US" sz="1600" b="1" baseline="0"/>
              <a:t> EMPLOYEE</a:t>
            </a:r>
            <a:endParaRPr lang="en-US" sz="1600" b="1"/>
          </a:p>
        </c:rich>
      </c:tx>
      <c:layout>
        <c:manualLayout>
          <c:xMode val="edge"/>
          <c:yMode val="edge"/>
          <c:x val="0.2411248906386701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Pivot!$D$3:$D$9</c:f>
              <c:strCache>
                <c:ptCount val="6"/>
                <c:pt idx="0">
                  <c:v>Finance</c:v>
                </c:pt>
                <c:pt idx="1">
                  <c:v>HR</c:v>
                </c:pt>
                <c:pt idx="2">
                  <c:v>IT</c:v>
                </c:pt>
                <c:pt idx="3">
                  <c:v>Marketing</c:v>
                </c:pt>
                <c:pt idx="4">
                  <c:v>Operations</c:v>
                </c:pt>
                <c:pt idx="5">
                  <c:v>Sales</c:v>
                </c:pt>
              </c:strCache>
            </c:strRef>
          </c:cat>
          <c:val>
            <c:numRef>
              <c:f>Pivot!$E$3:$E$9</c:f>
              <c:numCache>
                <c:formatCode>General</c:formatCode>
                <c:ptCount val="6"/>
                <c:pt idx="0">
                  <c:v>83</c:v>
                </c:pt>
                <c:pt idx="1">
                  <c:v>81</c:v>
                </c:pt>
                <c:pt idx="2">
                  <c:v>73</c:v>
                </c:pt>
                <c:pt idx="3">
                  <c:v>88</c:v>
                </c:pt>
                <c:pt idx="4">
                  <c:v>92</c:v>
                </c:pt>
                <c:pt idx="5">
                  <c:v>83</c:v>
                </c:pt>
              </c:numCache>
            </c:numRef>
          </c:val>
          <c:extLst>
            <c:ext xmlns:c16="http://schemas.microsoft.com/office/drawing/2014/chart" uri="{C3380CC4-5D6E-409C-BE32-E72D297353CC}">
              <c16:uniqueId val="{00000000-222E-44AD-A0F6-80CDD9C2985E}"/>
            </c:ext>
          </c:extLst>
        </c:ser>
        <c:dLbls>
          <c:dLblPos val="outEnd"/>
          <c:showLegendKey val="0"/>
          <c:showVal val="1"/>
          <c:showCatName val="0"/>
          <c:showSerName val="0"/>
          <c:showPercent val="0"/>
          <c:showBubbleSize val="0"/>
        </c:dLbls>
        <c:gapWidth val="219"/>
        <c:overlap val="-27"/>
        <c:axId val="426577632"/>
        <c:axId val="426561312"/>
      </c:barChart>
      <c:catAx>
        <c:axId val="426577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t>Departments</a:t>
                </a:r>
                <a:r>
                  <a:rPr lang="en-IN"/>
                  <a:t> </a:t>
                </a:r>
              </a:p>
            </c:rich>
          </c:tx>
          <c:layout>
            <c:manualLayout>
              <c:xMode val="edge"/>
              <c:yMode val="edge"/>
              <c:x val="0.40916535433070866"/>
              <c:y val="0.8915277777777778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6561312"/>
        <c:crosses val="autoZero"/>
        <c:auto val="1"/>
        <c:lblAlgn val="ctr"/>
        <c:lblOffset val="100"/>
        <c:noMultiLvlLbl val="0"/>
      </c:catAx>
      <c:valAx>
        <c:axId val="426561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a:t>
                </a:r>
                <a:r>
                  <a:rPr lang="en-IN" sz="1100" b="1"/>
                  <a:t>No.Of</a:t>
                </a:r>
                <a:r>
                  <a:rPr lang="en-IN" sz="1100" b="1" baseline="0"/>
                  <a:t> Employees</a:t>
                </a:r>
                <a:endParaRPr lang="en-IN"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657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[dashboard.xlsx]Pivot!manager wise employee count</c:name>
    <c:fmtId val="1"/>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MANAGER-WISE</a:t>
            </a:r>
            <a:r>
              <a:rPr lang="en-US" sz="1600" b="1" baseline="0"/>
              <a:t> EMPLOYEES</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Pivot!$E$12</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Pivot!$D$13:$D$18</c:f>
              <c:strCache>
                <c:ptCount val="5"/>
                <c:pt idx="0">
                  <c:v>Amit Verma</c:v>
                </c:pt>
                <c:pt idx="1">
                  <c:v>Karan Singh</c:v>
                </c:pt>
                <c:pt idx="2">
                  <c:v>Priya Patil</c:v>
                </c:pt>
                <c:pt idx="3">
                  <c:v>Rahul Sharma</c:v>
                </c:pt>
                <c:pt idx="4">
                  <c:v>Sneha Joshi</c:v>
                </c:pt>
              </c:strCache>
            </c:strRef>
          </c:cat>
          <c:val>
            <c:numRef>
              <c:f>Pivot!$E$13:$E$18</c:f>
              <c:numCache>
                <c:formatCode>General</c:formatCode>
                <c:ptCount val="5"/>
                <c:pt idx="0">
                  <c:v>95</c:v>
                </c:pt>
                <c:pt idx="1">
                  <c:v>103</c:v>
                </c:pt>
                <c:pt idx="2">
                  <c:v>93</c:v>
                </c:pt>
                <c:pt idx="3">
                  <c:v>101</c:v>
                </c:pt>
                <c:pt idx="4">
                  <c:v>108</c:v>
                </c:pt>
              </c:numCache>
            </c:numRef>
          </c:val>
          <c:extLst>
            <c:ext xmlns:c16="http://schemas.microsoft.com/office/drawing/2014/chart" uri="{C3380CC4-5D6E-409C-BE32-E72D297353CC}">
              <c16:uniqueId val="{00000000-7BF4-4BFA-884F-EBD68DC310A4}"/>
            </c:ext>
          </c:extLst>
        </c:ser>
        <c:dLbls>
          <c:dLblPos val="outEnd"/>
          <c:showLegendKey val="0"/>
          <c:showVal val="1"/>
          <c:showCatName val="0"/>
          <c:showSerName val="0"/>
          <c:showPercent val="0"/>
          <c:showBubbleSize val="0"/>
        </c:dLbls>
        <c:gapWidth val="182"/>
        <c:axId val="556741808"/>
        <c:axId val="556738928"/>
      </c:barChart>
      <c:catAx>
        <c:axId val="556741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a:t>
                </a:r>
                <a:r>
                  <a:rPr lang="en-IN" sz="1100" b="1"/>
                  <a:t>Manager</a:t>
                </a:r>
                <a:r>
                  <a:rPr lang="en-IN" sz="1100" b="1" baseline="0"/>
                  <a:t> Name</a:t>
                </a:r>
                <a:endParaRPr lang="en-IN" b="1"/>
              </a:p>
            </c:rich>
          </c:tx>
          <c:layout>
            <c:manualLayout>
              <c:xMode val="edge"/>
              <c:yMode val="edge"/>
              <c:x val="2.2222222222222223E-2"/>
              <c:y val="0.2974690142898804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56738928"/>
        <c:crosses val="autoZero"/>
        <c:auto val="1"/>
        <c:lblAlgn val="ctr"/>
        <c:lblOffset val="100"/>
        <c:noMultiLvlLbl val="0"/>
      </c:catAx>
      <c:valAx>
        <c:axId val="5567389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t>No.</a:t>
                </a:r>
                <a:r>
                  <a:rPr lang="en-IN" sz="1100" b="1" baseline="0"/>
                  <a:t> of Employee</a:t>
                </a:r>
                <a:r>
                  <a:rPr lang="en-IN" sz="1100" b="1"/>
                  <a:t> </a:t>
                </a:r>
              </a:p>
            </c:rich>
          </c:tx>
          <c:layout>
            <c:manualLayout>
              <c:xMode val="edge"/>
              <c:yMode val="edge"/>
              <c:x val="0.39332545931758528"/>
              <c:y val="0.8915277777777778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5674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EXPERIENCE</a:t>
            </a:r>
            <a:r>
              <a:rPr lang="en-US" sz="1600" b="1" baseline="0"/>
              <a:t>-WISE EMPLOYEES</a:t>
            </a:r>
            <a:endParaRPr lang="en-US" sz="1600" b="1"/>
          </a:p>
        </c:rich>
      </c:tx>
      <c:layout>
        <c:manualLayout>
          <c:xMode val="edge"/>
          <c:yMode val="edge"/>
          <c:x val="0.22853455818022747"/>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Pivot!$B$23</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Pivot!$A$24:$A$29</c:f>
              <c:strCache>
                <c:ptCount val="5"/>
                <c:pt idx="0">
                  <c:v>0-2</c:v>
                </c:pt>
                <c:pt idx="1">
                  <c:v>3-5</c:v>
                </c:pt>
                <c:pt idx="2">
                  <c:v>6-8</c:v>
                </c:pt>
                <c:pt idx="3">
                  <c:v>9-11</c:v>
                </c:pt>
                <c:pt idx="4">
                  <c:v>12-15</c:v>
                </c:pt>
              </c:strCache>
            </c:strRef>
          </c:cat>
          <c:val>
            <c:numRef>
              <c:f>Pivot!$B$24:$B$29</c:f>
              <c:numCache>
                <c:formatCode>General</c:formatCode>
                <c:ptCount val="5"/>
                <c:pt idx="0">
                  <c:v>94</c:v>
                </c:pt>
                <c:pt idx="1">
                  <c:v>100</c:v>
                </c:pt>
                <c:pt idx="2">
                  <c:v>81</c:v>
                </c:pt>
                <c:pt idx="3">
                  <c:v>95</c:v>
                </c:pt>
                <c:pt idx="4">
                  <c:v>130</c:v>
                </c:pt>
              </c:numCache>
            </c:numRef>
          </c:val>
          <c:extLst>
            <c:ext xmlns:c16="http://schemas.microsoft.com/office/drawing/2014/chart" uri="{C3380CC4-5D6E-409C-BE32-E72D297353CC}">
              <c16:uniqueId val="{00000000-06CC-4D92-96F8-31955E57B059}"/>
            </c:ext>
          </c:extLst>
        </c:ser>
        <c:dLbls>
          <c:dLblPos val="outEnd"/>
          <c:showLegendKey val="0"/>
          <c:showVal val="1"/>
          <c:showCatName val="0"/>
          <c:showSerName val="0"/>
          <c:showPercent val="0"/>
          <c:showBubbleSize val="0"/>
        </c:dLbls>
        <c:gapWidth val="219"/>
        <c:overlap val="-27"/>
        <c:axId val="1363958576"/>
        <c:axId val="1363956176"/>
      </c:barChart>
      <c:catAx>
        <c:axId val="1363958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t>Experience</a:t>
                </a:r>
                <a:r>
                  <a:rPr lang="en-IN" sz="1100" b="1" baseline="0"/>
                  <a:t> (years</a:t>
                </a:r>
                <a:r>
                  <a:rPr lang="en-IN" baseline="0"/>
                  <a:t>)</a:t>
                </a:r>
                <a:r>
                  <a:rPr lang="en-IN"/>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63956176"/>
        <c:crosses val="autoZero"/>
        <c:auto val="1"/>
        <c:lblAlgn val="ctr"/>
        <c:lblOffset val="100"/>
        <c:noMultiLvlLbl val="0"/>
      </c:catAx>
      <c:valAx>
        <c:axId val="1363956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a:t>
                </a:r>
                <a:r>
                  <a:rPr lang="en-IN" sz="1100" b="1"/>
                  <a:t>No.of</a:t>
                </a:r>
                <a:r>
                  <a:rPr lang="en-IN" sz="1100" b="1" baseline="0"/>
                  <a:t> Employees</a:t>
                </a:r>
                <a:endParaRPr lang="en-IN"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6395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ustomXml" Target="../ink/ink1.xml"/><Relationship Id="rId13" Type="http://schemas.openxmlformats.org/officeDocument/2006/relationships/image" Target="../media/image18.png"/><Relationship Id="rId18" Type="http://schemas.openxmlformats.org/officeDocument/2006/relationships/image" Target="../media/image9.svg"/><Relationship Id="rId26" Type="http://schemas.openxmlformats.org/officeDocument/2006/relationships/image" Target="../media/image21.svg"/><Relationship Id="rId3" Type="http://schemas.openxmlformats.org/officeDocument/2006/relationships/image" Target="../media/image3.png"/><Relationship Id="rId21" Type="http://schemas.openxmlformats.org/officeDocument/2006/relationships/image" Target="../media/image12.png"/><Relationship Id="rId7" Type="http://schemas.openxmlformats.org/officeDocument/2006/relationships/image" Target="../media/image7.png"/><Relationship Id="rId12" Type="http://schemas.openxmlformats.org/officeDocument/2006/relationships/customXml" Target="../ink/ink3.xml"/><Relationship Id="rId17" Type="http://schemas.openxmlformats.org/officeDocument/2006/relationships/image" Target="../media/image8.png"/><Relationship Id="rId25" Type="http://schemas.openxmlformats.org/officeDocument/2006/relationships/image" Target="../media/image20.png"/><Relationship Id="rId2" Type="http://schemas.openxmlformats.org/officeDocument/2006/relationships/image" Target="../media/image2.svg"/><Relationship Id="rId16" Type="http://schemas.openxmlformats.org/officeDocument/2006/relationships/customXml" Target="../ink/ink5.xml"/><Relationship Id="rId20" Type="http://schemas.openxmlformats.org/officeDocument/2006/relationships/image" Target="../media/image11.svg"/><Relationship Id="rId29"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7.png"/><Relationship Id="rId24" Type="http://schemas.openxmlformats.org/officeDocument/2006/relationships/image" Target="../media/image15.svg"/><Relationship Id="rId32"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9.png"/><Relationship Id="rId23" Type="http://schemas.openxmlformats.org/officeDocument/2006/relationships/image" Target="../media/image14.png"/><Relationship Id="rId28" Type="http://schemas.openxmlformats.org/officeDocument/2006/relationships/image" Target="../media/image23.svg"/><Relationship Id="rId10" Type="http://schemas.openxmlformats.org/officeDocument/2006/relationships/customXml" Target="../ink/ink2.xml"/><Relationship Id="rId19" Type="http://schemas.openxmlformats.org/officeDocument/2006/relationships/image" Target="../media/image10.png"/><Relationship Id="rId31"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image" Target="../media/image16.png"/><Relationship Id="rId14" Type="http://schemas.openxmlformats.org/officeDocument/2006/relationships/customXml" Target="../ink/ink4.xml"/><Relationship Id="rId22" Type="http://schemas.openxmlformats.org/officeDocument/2006/relationships/image" Target="../media/image13.svg"/><Relationship Id="rId27" Type="http://schemas.openxmlformats.org/officeDocument/2006/relationships/image" Target="../media/image22.png"/><Relationship Id="rId30"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2</xdr:col>
      <xdr:colOff>68580</xdr:colOff>
      <xdr:row>0</xdr:row>
      <xdr:rowOff>22860</xdr:rowOff>
    </xdr:from>
    <xdr:to>
      <xdr:col>3</xdr:col>
      <xdr:colOff>220980</xdr:colOff>
      <xdr:row>3</xdr:row>
      <xdr:rowOff>68580</xdr:rowOff>
    </xdr:to>
    <xdr:pic>
      <xdr:nvPicPr>
        <xdr:cNvPr id="3" name="Graphic 2" descr="Users with solid fill">
          <a:extLst>
            <a:ext uri="{FF2B5EF4-FFF2-40B4-BE49-F238E27FC236}">
              <a16:creationId xmlns:a16="http://schemas.microsoft.com/office/drawing/2014/main" id="{E0DF3305-B60F-8A26-B16E-F2EE4FE5DB3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87780" y="22860"/>
          <a:ext cx="762000" cy="594360"/>
        </a:xfrm>
        <a:prstGeom prst="rect">
          <a:avLst/>
        </a:prstGeom>
      </xdr:spPr>
    </xdr:pic>
    <xdr:clientData/>
  </xdr:twoCellAnchor>
  <xdr:twoCellAnchor editAs="oneCell">
    <xdr:from>
      <xdr:col>0</xdr:col>
      <xdr:colOff>38100</xdr:colOff>
      <xdr:row>4</xdr:row>
      <xdr:rowOff>129540</xdr:rowOff>
    </xdr:from>
    <xdr:to>
      <xdr:col>0</xdr:col>
      <xdr:colOff>571500</xdr:colOff>
      <xdr:row>8</xdr:row>
      <xdr:rowOff>15240</xdr:rowOff>
    </xdr:to>
    <xdr:pic>
      <xdr:nvPicPr>
        <xdr:cNvPr id="9" name="Graphic 8" descr="Meeting with solid fill">
          <a:extLst>
            <a:ext uri="{FF2B5EF4-FFF2-40B4-BE49-F238E27FC236}">
              <a16:creationId xmlns:a16="http://schemas.microsoft.com/office/drawing/2014/main" id="{B0ABF4D3-95DF-304D-F87D-D4D133A66D1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100" y="861060"/>
          <a:ext cx="533400" cy="632460"/>
        </a:xfrm>
        <a:prstGeom prst="rect">
          <a:avLst/>
        </a:prstGeom>
      </xdr:spPr>
    </xdr:pic>
    <xdr:clientData/>
  </xdr:twoCellAnchor>
  <xdr:twoCellAnchor editAs="oneCell">
    <xdr:from>
      <xdr:col>3</xdr:col>
      <xdr:colOff>53340</xdr:colOff>
      <xdr:row>5</xdr:row>
      <xdr:rowOff>22860</xdr:rowOff>
    </xdr:from>
    <xdr:to>
      <xdr:col>3</xdr:col>
      <xdr:colOff>571500</xdr:colOff>
      <xdr:row>7</xdr:row>
      <xdr:rowOff>114300</xdr:rowOff>
    </xdr:to>
    <xdr:pic>
      <xdr:nvPicPr>
        <xdr:cNvPr id="11" name="Graphic 10" descr="Users with solid fill">
          <a:extLst>
            <a:ext uri="{FF2B5EF4-FFF2-40B4-BE49-F238E27FC236}">
              <a16:creationId xmlns:a16="http://schemas.microsoft.com/office/drawing/2014/main" id="{FF230473-52F2-E1BF-EE60-3BE0A020717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882140" y="937260"/>
          <a:ext cx="518160" cy="472440"/>
        </a:xfrm>
        <a:prstGeom prst="rect">
          <a:avLst/>
        </a:prstGeom>
      </xdr:spPr>
    </xdr:pic>
    <xdr:clientData/>
  </xdr:twoCellAnchor>
  <xdr:twoCellAnchor editAs="oneCell">
    <xdr:from>
      <xdr:col>5</xdr:col>
      <xdr:colOff>45720</xdr:colOff>
      <xdr:row>5</xdr:row>
      <xdr:rowOff>83820</xdr:rowOff>
    </xdr:from>
    <xdr:to>
      <xdr:col>6</xdr:col>
      <xdr:colOff>0</xdr:colOff>
      <xdr:row>7</xdr:row>
      <xdr:rowOff>38100</xdr:rowOff>
    </xdr:to>
    <xdr:pic>
      <xdr:nvPicPr>
        <xdr:cNvPr id="4" name="Picture 3">
          <a:extLst>
            <a:ext uri="{FF2B5EF4-FFF2-40B4-BE49-F238E27FC236}">
              <a16:creationId xmlns:a16="http://schemas.microsoft.com/office/drawing/2014/main" id="{3E71E76D-6DE0-CBA8-2CE2-C78119074D38}"/>
            </a:ext>
          </a:extLst>
        </xdr:cNvPr>
        <xdr:cNvPicPr>
          <a:picLocks noChangeAspect="1"/>
        </xdr:cNvPicPr>
      </xdr:nvPicPr>
      <xdr:blipFill>
        <a:blip xmlns:r="http://schemas.openxmlformats.org/officeDocument/2006/relationships" r:embed="rId7">
          <a:clrChange>
            <a:clrFrom>
              <a:srgbClr val="FFFFFF"/>
            </a:clrFrom>
            <a:clrTo>
              <a:srgbClr val="FFFFFF">
                <a:alpha val="0"/>
              </a:srgbClr>
            </a:clrTo>
          </a:clrChange>
        </a:blip>
        <a:stretch>
          <a:fillRect/>
        </a:stretch>
      </xdr:blipFill>
      <xdr:spPr>
        <a:xfrm>
          <a:off x="2705100" y="998220"/>
          <a:ext cx="563880" cy="335280"/>
        </a:xfrm>
        <a:prstGeom prst="rect">
          <a:avLst/>
        </a:prstGeom>
      </xdr:spPr>
    </xdr:pic>
    <xdr:clientData/>
  </xdr:twoCellAnchor>
  <xdr:twoCellAnchor editAs="oneCell">
    <xdr:from>
      <xdr:col>5</xdr:col>
      <xdr:colOff>251220</xdr:colOff>
      <xdr:row>6</xdr:row>
      <xdr:rowOff>7440</xdr:rowOff>
    </xdr:from>
    <xdr:to>
      <xdr:col>5</xdr:col>
      <xdr:colOff>438780</xdr:colOff>
      <xdr:row>6</xdr:row>
      <xdr:rowOff>92760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41" name="Ink 40">
              <a:extLst>
                <a:ext uri="{FF2B5EF4-FFF2-40B4-BE49-F238E27FC236}">
                  <a16:creationId xmlns:a16="http://schemas.microsoft.com/office/drawing/2014/main" id="{1EDDFB07-FEDA-9148-B351-CC263BEEA613}"/>
                </a:ext>
              </a:extLst>
            </xdr14:cNvPr>
            <xdr14:cNvContentPartPr/>
          </xdr14:nvContentPartPr>
          <xdr14:nvPr macro=""/>
          <xdr14:xfrm>
            <a:off x="2910600" y="1119960"/>
            <a:ext cx="187560" cy="85320"/>
          </xdr14:xfrm>
        </xdr:contentPart>
      </mc:Choice>
      <mc:Fallback xmlns="">
        <xdr:pic>
          <xdr:nvPicPr>
            <xdr:cNvPr id="41" name="Ink 40">
              <a:extLst>
                <a:ext uri="{FF2B5EF4-FFF2-40B4-BE49-F238E27FC236}">
                  <a16:creationId xmlns:a16="http://schemas.microsoft.com/office/drawing/2014/main" id="{1EDDFB07-FEDA-9148-B351-CC263BEEA613}"/>
                </a:ext>
              </a:extLst>
            </xdr:cNvPr>
            <xdr:cNvPicPr/>
          </xdr:nvPicPr>
          <xdr:blipFill>
            <a:blip xmlns:r="http://schemas.openxmlformats.org/officeDocument/2006/relationships" r:embed="rId9"/>
            <a:stretch>
              <a:fillRect/>
            </a:stretch>
          </xdr:blipFill>
          <xdr:spPr>
            <a:xfrm>
              <a:off x="2892600" y="1083960"/>
              <a:ext cx="223200" cy="156960"/>
            </a:xfrm>
            <a:prstGeom prst="rect">
              <a:avLst/>
            </a:prstGeom>
          </xdr:spPr>
        </xdr:pic>
      </mc:Fallback>
    </mc:AlternateContent>
    <xdr:clientData/>
  </xdr:twoCellAnchor>
  <xdr:twoCellAnchor editAs="oneCell">
    <xdr:from>
      <xdr:col>5</xdr:col>
      <xdr:colOff>137100</xdr:colOff>
      <xdr:row>6</xdr:row>
      <xdr:rowOff>152160</xdr:rowOff>
    </xdr:from>
    <xdr:to>
      <xdr:col>5</xdr:col>
      <xdr:colOff>145020</xdr:colOff>
      <xdr:row>6</xdr:row>
      <xdr:rowOff>168000</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44" name="Ink 43">
              <a:extLst>
                <a:ext uri="{FF2B5EF4-FFF2-40B4-BE49-F238E27FC236}">
                  <a16:creationId xmlns:a16="http://schemas.microsoft.com/office/drawing/2014/main" id="{08512287-1B77-7D11-19BE-5E4F8C2EFB03}"/>
                </a:ext>
              </a:extLst>
            </xdr14:cNvPr>
            <xdr14:cNvContentPartPr/>
          </xdr14:nvContentPartPr>
          <xdr14:nvPr macro=""/>
          <xdr14:xfrm>
            <a:off x="2796480" y="1264680"/>
            <a:ext cx="7920" cy="15840"/>
          </xdr14:xfrm>
        </xdr:contentPart>
      </mc:Choice>
      <mc:Fallback xmlns="">
        <xdr:pic>
          <xdr:nvPicPr>
            <xdr:cNvPr id="44" name="Ink 43">
              <a:extLst>
                <a:ext uri="{FF2B5EF4-FFF2-40B4-BE49-F238E27FC236}">
                  <a16:creationId xmlns:a16="http://schemas.microsoft.com/office/drawing/2014/main" id="{08512287-1B77-7D11-19BE-5E4F8C2EFB03}"/>
                </a:ext>
              </a:extLst>
            </xdr:cNvPr>
            <xdr:cNvPicPr/>
          </xdr:nvPicPr>
          <xdr:blipFill>
            <a:blip xmlns:r="http://schemas.openxmlformats.org/officeDocument/2006/relationships" r:embed="rId11"/>
            <a:stretch>
              <a:fillRect/>
            </a:stretch>
          </xdr:blipFill>
          <xdr:spPr>
            <a:xfrm>
              <a:off x="2778480" y="1228680"/>
              <a:ext cx="43560" cy="87480"/>
            </a:xfrm>
            <a:prstGeom prst="rect">
              <a:avLst/>
            </a:prstGeom>
          </xdr:spPr>
        </xdr:pic>
      </mc:Fallback>
    </mc:AlternateContent>
    <xdr:clientData/>
  </xdr:twoCellAnchor>
  <xdr:twoCellAnchor editAs="oneCell">
    <xdr:from>
      <xdr:col>5</xdr:col>
      <xdr:colOff>121980</xdr:colOff>
      <xdr:row>6</xdr:row>
      <xdr:rowOff>144240</xdr:rowOff>
    </xdr:from>
    <xdr:to>
      <xdr:col>5</xdr:col>
      <xdr:colOff>129900</xdr:colOff>
      <xdr:row>6</xdr:row>
      <xdr:rowOff>152160</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46" name="Ink 45">
              <a:extLst>
                <a:ext uri="{FF2B5EF4-FFF2-40B4-BE49-F238E27FC236}">
                  <a16:creationId xmlns:a16="http://schemas.microsoft.com/office/drawing/2014/main" id="{903B4716-F1CF-95A1-6D68-716C53E46B53}"/>
                </a:ext>
              </a:extLst>
            </xdr14:cNvPr>
            <xdr14:cNvContentPartPr/>
          </xdr14:nvContentPartPr>
          <xdr14:nvPr macro=""/>
          <xdr14:xfrm>
            <a:off x="2781360" y="1256760"/>
            <a:ext cx="7920" cy="7920"/>
          </xdr14:xfrm>
        </xdr:contentPart>
      </mc:Choice>
      <mc:Fallback xmlns="">
        <xdr:pic>
          <xdr:nvPicPr>
            <xdr:cNvPr id="46" name="Ink 45">
              <a:extLst>
                <a:ext uri="{FF2B5EF4-FFF2-40B4-BE49-F238E27FC236}">
                  <a16:creationId xmlns:a16="http://schemas.microsoft.com/office/drawing/2014/main" id="{903B4716-F1CF-95A1-6D68-716C53E46B53}"/>
                </a:ext>
              </a:extLst>
            </xdr:cNvPr>
            <xdr:cNvPicPr/>
          </xdr:nvPicPr>
          <xdr:blipFill>
            <a:blip xmlns:r="http://schemas.openxmlformats.org/officeDocument/2006/relationships" r:embed="rId13"/>
            <a:stretch>
              <a:fillRect/>
            </a:stretch>
          </xdr:blipFill>
          <xdr:spPr>
            <a:xfrm>
              <a:off x="2763720" y="1221120"/>
              <a:ext cx="43560" cy="79560"/>
            </a:xfrm>
            <a:prstGeom prst="rect">
              <a:avLst/>
            </a:prstGeom>
          </xdr:spPr>
        </xdr:pic>
      </mc:Fallback>
    </mc:AlternateContent>
    <xdr:clientData/>
  </xdr:twoCellAnchor>
  <xdr:twoCellAnchor editAs="oneCell">
    <xdr:from>
      <xdr:col>5</xdr:col>
      <xdr:colOff>114060</xdr:colOff>
      <xdr:row>6</xdr:row>
      <xdr:rowOff>152160</xdr:rowOff>
    </xdr:from>
    <xdr:to>
      <xdr:col>5</xdr:col>
      <xdr:colOff>114420</xdr:colOff>
      <xdr:row>6</xdr:row>
      <xdr:rowOff>152520</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47" name="Ink 46">
              <a:extLst>
                <a:ext uri="{FF2B5EF4-FFF2-40B4-BE49-F238E27FC236}">
                  <a16:creationId xmlns:a16="http://schemas.microsoft.com/office/drawing/2014/main" id="{7363049F-DB80-34DA-92A7-A0B454DFB7A2}"/>
                </a:ext>
              </a:extLst>
            </xdr14:cNvPr>
            <xdr14:cNvContentPartPr/>
          </xdr14:nvContentPartPr>
          <xdr14:nvPr macro=""/>
          <xdr14:xfrm>
            <a:off x="2773440" y="1264680"/>
            <a:ext cx="360" cy="360"/>
          </xdr14:xfrm>
        </xdr:contentPart>
      </mc:Choice>
      <mc:Fallback xmlns="">
        <xdr:pic>
          <xdr:nvPicPr>
            <xdr:cNvPr id="47" name="Ink 46">
              <a:extLst>
                <a:ext uri="{FF2B5EF4-FFF2-40B4-BE49-F238E27FC236}">
                  <a16:creationId xmlns:a16="http://schemas.microsoft.com/office/drawing/2014/main" id="{7363049F-DB80-34DA-92A7-A0B454DFB7A2}"/>
                </a:ext>
              </a:extLst>
            </xdr:cNvPr>
            <xdr:cNvPicPr/>
          </xdr:nvPicPr>
          <xdr:blipFill>
            <a:blip xmlns:r="http://schemas.openxmlformats.org/officeDocument/2006/relationships" r:embed="rId15"/>
            <a:stretch>
              <a:fillRect/>
            </a:stretch>
          </xdr:blipFill>
          <xdr:spPr>
            <a:xfrm>
              <a:off x="2755440" y="1228680"/>
              <a:ext cx="36000" cy="72000"/>
            </a:xfrm>
            <a:prstGeom prst="rect">
              <a:avLst/>
            </a:prstGeom>
          </xdr:spPr>
        </xdr:pic>
      </mc:Fallback>
    </mc:AlternateContent>
    <xdr:clientData/>
  </xdr:twoCellAnchor>
  <xdr:twoCellAnchor editAs="oneCell">
    <xdr:from>
      <xdr:col>5</xdr:col>
      <xdr:colOff>129540</xdr:colOff>
      <xdr:row>6</xdr:row>
      <xdr:rowOff>182760</xdr:rowOff>
    </xdr:from>
    <xdr:to>
      <xdr:col>5</xdr:col>
      <xdr:colOff>129900</xdr:colOff>
      <xdr:row>7</xdr:row>
      <xdr:rowOff>240</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50" name="Ink 49">
              <a:extLst>
                <a:ext uri="{FF2B5EF4-FFF2-40B4-BE49-F238E27FC236}">
                  <a16:creationId xmlns:a16="http://schemas.microsoft.com/office/drawing/2014/main" id="{9AD8237A-D46E-5E36-8D1A-3D772E1AFC0C}"/>
                </a:ext>
              </a:extLst>
            </xdr14:cNvPr>
            <xdr14:cNvContentPartPr/>
          </xdr14:nvContentPartPr>
          <xdr14:nvPr macro=""/>
          <xdr14:xfrm>
            <a:off x="2788920" y="1295280"/>
            <a:ext cx="360" cy="360"/>
          </xdr14:xfrm>
        </xdr:contentPart>
      </mc:Choice>
      <mc:Fallback xmlns="">
        <xdr:pic>
          <xdr:nvPicPr>
            <xdr:cNvPr id="50" name="Ink 49">
              <a:extLst>
                <a:ext uri="{FF2B5EF4-FFF2-40B4-BE49-F238E27FC236}">
                  <a16:creationId xmlns:a16="http://schemas.microsoft.com/office/drawing/2014/main" id="{9AD8237A-D46E-5E36-8D1A-3D772E1AFC0C}"/>
                </a:ext>
              </a:extLst>
            </xdr:cNvPr>
            <xdr:cNvPicPr/>
          </xdr:nvPicPr>
          <xdr:blipFill>
            <a:blip xmlns:r="http://schemas.openxmlformats.org/officeDocument/2006/relationships" r:embed="rId15"/>
            <a:stretch>
              <a:fillRect/>
            </a:stretch>
          </xdr:blipFill>
          <xdr:spPr>
            <a:xfrm>
              <a:off x="2770920" y="1259280"/>
              <a:ext cx="36000" cy="72000"/>
            </a:xfrm>
            <a:prstGeom prst="rect">
              <a:avLst/>
            </a:prstGeom>
          </xdr:spPr>
        </xdr:pic>
      </mc:Fallback>
    </mc:AlternateContent>
    <xdr:clientData/>
  </xdr:twoCellAnchor>
  <xdr:twoCellAnchor editAs="oneCell">
    <xdr:from>
      <xdr:col>10</xdr:col>
      <xdr:colOff>15240</xdr:colOff>
      <xdr:row>5</xdr:row>
      <xdr:rowOff>7620</xdr:rowOff>
    </xdr:from>
    <xdr:to>
      <xdr:col>10</xdr:col>
      <xdr:colOff>563880</xdr:colOff>
      <xdr:row>7</xdr:row>
      <xdr:rowOff>99060</xdr:rowOff>
    </xdr:to>
    <xdr:pic>
      <xdr:nvPicPr>
        <xdr:cNvPr id="52" name="Graphic 51" descr="Trophy with solid fill">
          <a:extLst>
            <a:ext uri="{FF2B5EF4-FFF2-40B4-BE49-F238E27FC236}">
              <a16:creationId xmlns:a16="http://schemas.microsoft.com/office/drawing/2014/main" id="{A19C6034-8ECE-0044-2870-4225A5E3CD04}"/>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387340" y="922020"/>
          <a:ext cx="548640" cy="472440"/>
        </a:xfrm>
        <a:prstGeom prst="rect">
          <a:avLst/>
        </a:prstGeom>
        <a:effectLst>
          <a:outerShdw blurRad="50800" dist="38100" dir="2700000" algn="tl" rotWithShape="0">
            <a:prstClr val="black">
              <a:alpha val="40000"/>
            </a:prstClr>
          </a:outerShdw>
        </a:effectLst>
      </xdr:spPr>
    </xdr:pic>
    <xdr:clientData/>
  </xdr:twoCellAnchor>
  <xdr:twoCellAnchor editAs="oneCell">
    <xdr:from>
      <xdr:col>13</xdr:col>
      <xdr:colOff>22860</xdr:colOff>
      <xdr:row>5</xdr:row>
      <xdr:rowOff>38100</xdr:rowOff>
    </xdr:from>
    <xdr:to>
      <xdr:col>13</xdr:col>
      <xdr:colOff>594360</xdr:colOff>
      <xdr:row>8</xdr:row>
      <xdr:rowOff>0</xdr:rowOff>
    </xdr:to>
    <xdr:pic>
      <xdr:nvPicPr>
        <xdr:cNvPr id="54" name="Graphic 53" descr="Bar graph with upward trend with solid fill">
          <a:extLst>
            <a:ext uri="{FF2B5EF4-FFF2-40B4-BE49-F238E27FC236}">
              <a16:creationId xmlns:a16="http://schemas.microsoft.com/office/drawing/2014/main" id="{FC7ABA34-2657-E86E-625A-68A7F0E3F7FF}"/>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7223760" y="952500"/>
          <a:ext cx="571500" cy="525780"/>
        </a:xfrm>
        <a:prstGeom prst="rect">
          <a:avLst/>
        </a:prstGeom>
        <a:effectLst/>
      </xdr:spPr>
    </xdr:pic>
    <xdr:clientData/>
  </xdr:twoCellAnchor>
  <xdr:twoCellAnchor editAs="oneCell">
    <xdr:from>
      <xdr:col>8</xdr:col>
      <xdr:colOff>7620</xdr:colOff>
      <xdr:row>5</xdr:row>
      <xdr:rowOff>60960</xdr:rowOff>
    </xdr:from>
    <xdr:to>
      <xdr:col>8</xdr:col>
      <xdr:colOff>556260</xdr:colOff>
      <xdr:row>7</xdr:row>
      <xdr:rowOff>114300</xdr:rowOff>
    </xdr:to>
    <xdr:pic>
      <xdr:nvPicPr>
        <xdr:cNvPr id="56" name="Graphic 55" descr="Bank with solid fill">
          <a:extLst>
            <a:ext uri="{FF2B5EF4-FFF2-40B4-BE49-F238E27FC236}">
              <a16:creationId xmlns:a16="http://schemas.microsoft.com/office/drawing/2014/main" id="{6DF86FC2-F590-3C35-D2A6-66F499EF0E9F}"/>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4495800" y="975360"/>
          <a:ext cx="548640" cy="434340"/>
        </a:xfrm>
        <a:prstGeom prst="rect">
          <a:avLst/>
        </a:prstGeom>
      </xdr:spPr>
    </xdr:pic>
    <xdr:clientData/>
  </xdr:twoCellAnchor>
  <xdr:twoCellAnchor editAs="oneCell">
    <xdr:from>
      <xdr:col>15</xdr:col>
      <xdr:colOff>38100</xdr:colOff>
      <xdr:row>5</xdr:row>
      <xdr:rowOff>38100</xdr:rowOff>
    </xdr:from>
    <xdr:to>
      <xdr:col>15</xdr:col>
      <xdr:colOff>594360</xdr:colOff>
      <xdr:row>8</xdr:row>
      <xdr:rowOff>22860</xdr:rowOff>
    </xdr:to>
    <xdr:pic>
      <xdr:nvPicPr>
        <xdr:cNvPr id="58" name="Graphic 57" descr="City with solid fill">
          <a:extLst>
            <a:ext uri="{FF2B5EF4-FFF2-40B4-BE49-F238E27FC236}">
              <a16:creationId xmlns:a16="http://schemas.microsoft.com/office/drawing/2014/main" id="{2F0F39FA-E2AA-8E9F-B0B3-0CB7D593B47B}"/>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8122920" y="952500"/>
          <a:ext cx="556260" cy="548640"/>
        </a:xfrm>
        <a:prstGeom prst="rect">
          <a:avLst/>
        </a:prstGeom>
      </xdr:spPr>
    </xdr:pic>
    <xdr:clientData/>
  </xdr:twoCellAnchor>
  <xdr:twoCellAnchor editAs="oneCell">
    <xdr:from>
      <xdr:col>18</xdr:col>
      <xdr:colOff>15240</xdr:colOff>
      <xdr:row>5</xdr:row>
      <xdr:rowOff>68580</xdr:rowOff>
    </xdr:from>
    <xdr:to>
      <xdr:col>18</xdr:col>
      <xdr:colOff>518160</xdr:colOff>
      <xdr:row>7</xdr:row>
      <xdr:rowOff>129540</xdr:rowOff>
    </xdr:to>
    <xdr:pic>
      <xdr:nvPicPr>
        <xdr:cNvPr id="60" name="Graphic 59" descr="Building with solid fill">
          <a:extLst>
            <a:ext uri="{FF2B5EF4-FFF2-40B4-BE49-F238E27FC236}">
              <a16:creationId xmlns:a16="http://schemas.microsoft.com/office/drawing/2014/main" id="{20000F15-63C4-DB62-7195-AB321B2448CA}"/>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9928860" y="982980"/>
          <a:ext cx="502920" cy="441960"/>
        </a:xfrm>
        <a:prstGeom prst="rect">
          <a:avLst/>
        </a:prstGeom>
      </xdr:spPr>
    </xdr:pic>
    <xdr:clientData/>
  </xdr:twoCellAnchor>
  <xdr:twoCellAnchor editAs="oneCell">
    <xdr:from>
      <xdr:col>17</xdr:col>
      <xdr:colOff>76200</xdr:colOff>
      <xdr:row>0</xdr:row>
      <xdr:rowOff>0</xdr:rowOff>
    </xdr:from>
    <xdr:to>
      <xdr:col>18</xdr:col>
      <xdr:colOff>198119</xdr:colOff>
      <xdr:row>3</xdr:row>
      <xdr:rowOff>68580</xdr:rowOff>
    </xdr:to>
    <xdr:pic>
      <xdr:nvPicPr>
        <xdr:cNvPr id="62" name="Graphic 61" descr="Upward trend with solid fill">
          <a:extLst>
            <a:ext uri="{FF2B5EF4-FFF2-40B4-BE49-F238E27FC236}">
              <a16:creationId xmlns:a16="http://schemas.microsoft.com/office/drawing/2014/main" id="{A78A04D7-3037-B064-6C21-339CC5B9B3B7}"/>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9380220" y="0"/>
          <a:ext cx="731520" cy="617220"/>
        </a:xfrm>
        <a:prstGeom prst="rect">
          <a:avLst/>
        </a:prstGeom>
      </xdr:spPr>
    </xdr:pic>
    <xdr:clientData/>
  </xdr:twoCellAnchor>
  <xdr:twoCellAnchor>
    <xdr:from>
      <xdr:col>0</xdr:col>
      <xdr:colOff>69353</xdr:colOff>
      <xdr:row>8</xdr:row>
      <xdr:rowOff>83433</xdr:rowOff>
    </xdr:from>
    <xdr:to>
      <xdr:col>7</xdr:col>
      <xdr:colOff>137933</xdr:colOff>
      <xdr:row>20</xdr:row>
      <xdr:rowOff>110103</xdr:rowOff>
    </xdr:to>
    <xdr:graphicFrame macro="">
      <xdr:nvGraphicFramePr>
        <xdr:cNvPr id="7" name="Chart 1">
          <a:extLst>
            <a:ext uri="{FF2B5EF4-FFF2-40B4-BE49-F238E27FC236}">
              <a16:creationId xmlns:a16="http://schemas.microsoft.com/office/drawing/2014/main" id="{D738C0E3-BA80-D7C0-B3EE-42691D6AE7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7</xdr:col>
      <xdr:colOff>256429</xdr:colOff>
      <xdr:row>8</xdr:row>
      <xdr:rowOff>75814</xdr:rowOff>
    </xdr:from>
    <xdr:to>
      <xdr:col>15</xdr:col>
      <xdr:colOff>375478</xdr:colOff>
      <xdr:row>20</xdr:row>
      <xdr:rowOff>117724</xdr:rowOff>
    </xdr:to>
    <xdr:graphicFrame macro="">
      <xdr:nvGraphicFramePr>
        <xdr:cNvPr id="6" name="Chart 2">
          <a:extLst>
            <a:ext uri="{FF2B5EF4-FFF2-40B4-BE49-F238E27FC236}">
              <a16:creationId xmlns:a16="http://schemas.microsoft.com/office/drawing/2014/main" id="{6A88E281-638D-D71F-0F2A-FEBFC60619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0</xdr:col>
      <xdr:colOff>61733</xdr:colOff>
      <xdr:row>20</xdr:row>
      <xdr:rowOff>163830</xdr:rowOff>
    </xdr:from>
    <xdr:to>
      <xdr:col>7</xdr:col>
      <xdr:colOff>143565</xdr:colOff>
      <xdr:row>35</xdr:row>
      <xdr:rowOff>163830</xdr:rowOff>
    </xdr:to>
    <xdr:graphicFrame macro="">
      <xdr:nvGraphicFramePr>
        <xdr:cNvPr id="8" name="Chart 1">
          <a:extLst>
            <a:ext uri="{FF2B5EF4-FFF2-40B4-BE49-F238E27FC236}">
              <a16:creationId xmlns:a16="http://schemas.microsoft.com/office/drawing/2014/main" id="{CB183260-F1B7-5FFB-F03D-DDD6034F34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7</xdr:col>
      <xdr:colOff>249582</xdr:colOff>
      <xdr:row>20</xdr:row>
      <xdr:rowOff>179070</xdr:rowOff>
    </xdr:from>
    <xdr:to>
      <xdr:col>15</xdr:col>
      <xdr:colOff>375478</xdr:colOff>
      <xdr:row>35</xdr:row>
      <xdr:rowOff>179070</xdr:rowOff>
    </xdr:to>
    <xdr:graphicFrame macro="">
      <xdr:nvGraphicFramePr>
        <xdr:cNvPr id="10" name="Chart 2">
          <a:extLst>
            <a:ext uri="{FF2B5EF4-FFF2-40B4-BE49-F238E27FC236}">
              <a16:creationId xmlns:a16="http://schemas.microsoft.com/office/drawing/2014/main" id="{5751D759-0CE5-0001-8294-1DEB99BDE2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editAs="oneCell">
    <xdr:from>
      <xdr:col>15</xdr:col>
      <xdr:colOff>478292</xdr:colOff>
      <xdr:row>8</xdr:row>
      <xdr:rowOff>90335</xdr:rowOff>
    </xdr:from>
    <xdr:to>
      <xdr:col>19</xdr:col>
      <xdr:colOff>11043</xdr:colOff>
      <xdr:row>19</xdr:row>
      <xdr:rowOff>110434</xdr:rowOff>
    </xdr:to>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B7504FA2-FF0C-84D3-9A94-81EC88F309E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789172" y="1573695"/>
              <a:ext cx="1971151" cy="2031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489337</xdr:colOff>
      <xdr:row>19</xdr:row>
      <xdr:rowOff>178686</xdr:rowOff>
    </xdr:from>
    <xdr:to>
      <xdr:col>19</xdr:col>
      <xdr:colOff>0</xdr:colOff>
      <xdr:row>26</xdr:row>
      <xdr:rowOff>22088</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6EA19EA9-76FC-1676-FBA3-F14734F2627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800217" y="3673726"/>
              <a:ext cx="1949063" cy="11235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489335</xdr:colOff>
      <xdr:row>26</xdr:row>
      <xdr:rowOff>134511</xdr:rowOff>
    </xdr:from>
    <xdr:to>
      <xdr:col>19</xdr:col>
      <xdr:colOff>0</xdr:colOff>
      <xdr:row>36</xdr:row>
      <xdr:rowOff>0</xdr:rowOff>
    </xdr:to>
    <mc:AlternateContent xmlns:mc="http://schemas.openxmlformats.org/markup-compatibility/2006" xmlns:a14="http://schemas.microsoft.com/office/drawing/2010/main">
      <mc:Choice Requires="a14">
        <xdr:graphicFrame macro="">
          <xdr:nvGraphicFramePr>
            <xdr:cNvPr id="14" name="Manager_Name">
              <a:extLst>
                <a:ext uri="{FF2B5EF4-FFF2-40B4-BE49-F238E27FC236}">
                  <a16:creationId xmlns:a16="http://schemas.microsoft.com/office/drawing/2014/main" id="{3B2E3F93-1007-66EF-6A10-F88238D90FD0}"/>
                </a:ext>
              </a:extLst>
            </xdr:cNvPr>
            <xdr:cNvGraphicFramePr/>
          </xdr:nvGraphicFramePr>
          <xdr:xfrm>
            <a:off x="0" y="0"/>
            <a:ext cx="0" cy="0"/>
          </xdr:xfrm>
          <a:graphic>
            <a:graphicData uri="http://schemas.microsoft.com/office/drawing/2010/slicer">
              <sle:slicer xmlns:sle="http://schemas.microsoft.com/office/drawing/2010/slicer" name="Manager_Name"/>
            </a:graphicData>
          </a:graphic>
        </xdr:graphicFrame>
      </mc:Choice>
      <mc:Fallback xmlns="">
        <xdr:sp macro="" textlink="">
          <xdr:nvSpPr>
            <xdr:cNvPr id="0" name=""/>
            <xdr:cNvSpPr>
              <a:spLocks noTextEdit="1"/>
            </xdr:cNvSpPr>
          </xdr:nvSpPr>
          <xdr:spPr>
            <a:xfrm>
              <a:off x="8800215" y="4909711"/>
              <a:ext cx="1949065" cy="16942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6-20T10:52:42.187"/>
    </inkml:context>
    <inkml:brush xml:id="br0">
      <inkml:brushProperty name="width" value="0.1" units="cm"/>
      <inkml:brushProperty name="height" value="0.2" units="cm"/>
      <inkml:brushProperty name="color" value="#FFFC00"/>
      <inkml:brushProperty name="tip" value="rectangle"/>
      <inkml:brushProperty name="rasterOp" value="maskPen"/>
      <inkml:brushProperty name="ignorePressure" value="1"/>
    </inkml:brush>
  </inkml:definitions>
  <inkml:trace contextRef="#ctx0" brushRef="#br0">213 106,'-1'0</inkml:trace>
  <inkml:trace contextRef="#ctx0" brushRef="#br0" timeOffset="1866.51">192 64</inkml:trace>
  <inkml:trace contextRef="#ctx0" brushRef="#br0" timeOffset="4161.21">234 21,'-4'0,"-4"0,-2 4,-1 1,-4 0,-2-1,-6-2,-2 0,-1-1,1-1,4 0</inkml:trace>
  <inkml:trace contextRef="#ctx0" brushRef="#br0" timeOffset="4591.53">22 43</inkml:trace>
  <inkml:trace contextRef="#ctx0" brushRef="#br0" timeOffset="5591.42">22 64</inkml:trace>
  <inkml:trace contextRef="#ctx0" brushRef="#br0" timeOffset="7085.86">192 170</inkml:trace>
  <inkml:trace contextRef="#ctx0" brushRef="#br0" timeOffset="8401.29">467 21,'0'0</inkml:trace>
  <inkml:trace contextRef="#ctx0" brushRef="#br0" timeOffset="9532.34">319 43</inkml:trace>
  <inkml:trace contextRef="#ctx0" brushRef="#br0" timeOffset="10578.89">340 127,'-1'0</inkml:trace>
  <inkml:trace contextRef="#ctx0" brushRef="#br0" timeOffset="11958.38">255 127,'-1'0</inkml:trace>
  <inkml:trace contextRef="#ctx0" brushRef="#br0" timeOffset="13923.91">44 106,'-1'0</inkml:trace>
  <inkml:trace contextRef="#ctx0" brushRef="#br0" timeOffset="15298.33">361 64</inkml:trace>
  <inkml:trace contextRef="#ctx0" brushRef="#br0" timeOffset="15630.79">361 64</inkml:trace>
  <inkml:trace contextRef="#ctx0" brushRef="#br0" timeOffset="15867.97">361 64</inkml:trace>
  <inkml:trace contextRef="#ctx0" brushRef="#br0" timeOffset="17553.99">361 64,'16'2,"1"0,0 1,-1 1,20 6,-9-2,-24-7,-1-1,1 1,-1 0,0 0,1-1,-1 2,0-1,0 0,0 0,0 1,3 2,-5-4,0 0,0 0,0 0,0 1,1-1,-1 0,0 0,0 1,0-1,0 0,0 0,0 1,0-1,0 0,0 1,0-1,0 0,0 0,-1 1,1-1,0 0,0 0,0 0,0 1,0-1,0 0,0 0,-1 1,1-1,0 0,0 0,0 0,-1 0,1 1,-20 7,-6 1,0 1,-38 21,47-21,-1-1,0-1,0-1,-1 0,0-2,0 0,-24 3,7-5,0-2,-41-5,75 4,0 0,0 0,0-1,1 1,-1-1,0 1,0-1,1 0,-1 0,0 0,1 0,-1 0,1 0,-1 0,1 0,-1-1,1 1,0 0,0-1,0 1,0-1,-2-2,1-2,0 0,0-1,0 1,1 0,-1-8,-2-11,0 10</inkml:trace>
  <inkml:trace contextRef="#ctx0" brushRef="#br0" timeOffset="17926.34">1 106,'-1'0</inkml:trace>
  <inkml:trace contextRef="#ctx0" brushRef="#br0" timeOffset="19018.16">213 0,'-1'0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6-20T10:53:29.406"/>
    </inkml:context>
    <inkml:brush xml:id="br0">
      <inkml:brushProperty name="width" value="0.1" units="cm"/>
      <inkml:brushProperty name="height" value="0.2" units="cm"/>
      <inkml:brushProperty name="color" value="#00F900"/>
      <inkml:brushProperty name="tip" value="rectangle"/>
      <inkml:brushProperty name="rasterOp" value="maskPen"/>
      <inkml:brushProperty name="ignorePressure" value="1"/>
    </inkml:brush>
  </inkml:definitions>
  <inkml:trace contextRef="#ctx0" brushRef="#br0">22 43,'0'0</inkml:trace>
  <inkml:trace contextRef="#ctx0" brushRef="#br0" timeOffset="2021.66">1 0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0T10:53:34.269"/>
    </inkml:context>
    <inkml:brush xml:id="br0">
      <inkml:brushProperty name="width" value="0.1" units="cm"/>
      <inkml:brushProperty name="height" value="0.2" units="cm"/>
      <inkml:brushProperty name="color" value="#00F900"/>
      <inkml:brushProperty name="tip" value="rectangle"/>
      <inkml:brushProperty name="rasterOp" value="maskPen"/>
      <inkml:brushProperty name="ignorePressure" value="1"/>
    </inkml:brush>
  </inkml:definitions>
  <inkml:trace contextRef="#ctx0" brushRef="#br0">35 33 0,'-21'-21'0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6-20T10:53:35.733"/>
    </inkml:context>
    <inkml:brush xml:id="br0">
      <inkml:brushProperty name="width" value="0.1" units="cm"/>
      <inkml:brushProperty name="height" value="0.2" units="cm"/>
      <inkml:brushProperty name="color" value="#00F900"/>
      <inkml:brushProperty name="tip" value="rectangle"/>
      <inkml:brushProperty name="rasterOp" value="maskPen"/>
      <inkml:brushProperty name="ignorePressure" value="1"/>
    </inkml:brush>
  </inkml:definitions>
  <inkml:trace contextRef="#ctx0" brushRef="#br0">1 0,'0'0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6-20T10:53:55.453"/>
    </inkml:context>
    <inkml:brush xml:id="br0">
      <inkml:brushProperty name="width" value="0.1" units="cm"/>
      <inkml:brushProperty name="height" value="0.2" units="cm"/>
      <inkml:brushProperty name="color" value="#00F900"/>
      <inkml:brushProperty name="tip" value="rectangle"/>
      <inkml:brushProperty name="rasterOp" value="maskPen"/>
      <inkml:brushProperty name="ignorePressure" value="1"/>
    </inkml:brush>
  </inkml:definitions>
  <inkml:trace contextRef="#ctx0" brushRef="#br0">1 0,'-1'0</inkml:trace>
</inkm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yali anil ingale" refreshedDate="46190.775071990742" createdVersion="8" refreshedVersion="8" minRefreshableVersion="3" recordCount="500" xr:uid="{9E9C5E5E-37B1-4449-99AF-74FE30BACB1F}">
  <cacheSource type="worksheet">
    <worksheetSource name="Employee_Data"/>
  </cacheSource>
  <cacheFields count="14">
    <cacheField name="Employee_ID" numFmtId="0">
      <sharedItems count="500">
        <s v="EMP0001"/>
        <s v="EMP0002"/>
        <s v="EMP0003"/>
        <s v="EMP0004"/>
        <s v="EMP0005"/>
        <s v="EMP0006"/>
        <s v="EMP0007"/>
        <s v="EMP0008"/>
        <s v="EMP0009"/>
        <s v="EMP0010"/>
        <s v="EMP0011"/>
        <s v="EMP0012"/>
        <s v="EMP0013"/>
        <s v="EMP0014"/>
        <s v="EMP0015"/>
        <s v="EMP0016"/>
        <s v="EMP0017"/>
        <s v="EMP0018"/>
        <s v="EMP0019"/>
        <s v="EMP0020"/>
        <s v="EMP0021"/>
        <s v="EMP0022"/>
        <s v="EMP0023"/>
        <s v="EMP0024"/>
        <s v="EMP0025"/>
        <s v="EMP0026"/>
        <s v="EMP0027"/>
        <s v="EMP0028"/>
        <s v="EMP0029"/>
        <s v="EMP0030"/>
        <s v="EMP0031"/>
        <s v="EMP0032"/>
        <s v="EMP0033"/>
        <s v="EMP0034"/>
        <s v="EMP0035"/>
        <s v="EMP0036"/>
        <s v="EMP0037"/>
        <s v="EMP0038"/>
        <s v="EMP0039"/>
        <s v="EMP0040"/>
        <s v="EMP0041"/>
        <s v="EMP0042"/>
        <s v="EMP0043"/>
        <s v="EMP0044"/>
        <s v="EMP0045"/>
        <s v="EMP0046"/>
        <s v="EMP0047"/>
        <s v="EMP0048"/>
        <s v="EMP0049"/>
        <s v="EMP0050"/>
        <s v="EMP0051"/>
        <s v="EMP0052"/>
        <s v="EMP0053"/>
        <s v="EMP0054"/>
        <s v="EMP0055"/>
        <s v="EMP0056"/>
        <s v="EMP0057"/>
        <s v="EMP0058"/>
        <s v="EMP0059"/>
        <s v="EMP0060"/>
        <s v="EMP0061"/>
        <s v="EMP0062"/>
        <s v="EMP0063"/>
        <s v="EMP0064"/>
        <s v="EMP0065"/>
        <s v="EMP0066"/>
        <s v="EMP0067"/>
        <s v="EMP0068"/>
        <s v="EMP0069"/>
        <s v="EMP0070"/>
        <s v="EMP0071"/>
        <s v="EMP0072"/>
        <s v="EMP0073"/>
        <s v="EMP0074"/>
        <s v="EMP0075"/>
        <s v="EMP0076"/>
        <s v="EMP0077"/>
        <s v="EMP0078"/>
        <s v="EMP0079"/>
        <s v="EMP0080"/>
        <s v="EMP0081"/>
        <s v="EMP0082"/>
        <s v="EMP0083"/>
        <s v="EMP0084"/>
        <s v="EMP0085"/>
        <s v="EMP0086"/>
        <s v="EMP0087"/>
        <s v="EMP0088"/>
        <s v="EMP0089"/>
        <s v="EMP0090"/>
        <s v="EMP0091"/>
        <s v="EMP0092"/>
        <s v="EMP0093"/>
        <s v="EMP0094"/>
        <s v="EMP0095"/>
        <s v="EMP0096"/>
        <s v="EMP0097"/>
        <s v="EMP0098"/>
        <s v="EMP0099"/>
        <s v="EMP0100"/>
        <s v="EMP0101"/>
        <s v="EMP0102"/>
        <s v="EMP0103"/>
        <s v="EMP0104"/>
        <s v="EMP0105"/>
        <s v="EMP0106"/>
        <s v="EMP0107"/>
        <s v="EMP0108"/>
        <s v="EMP0109"/>
        <s v="EMP0110"/>
        <s v="EMP0111"/>
        <s v="EMP0112"/>
        <s v="EMP0113"/>
        <s v="EMP0114"/>
        <s v="EMP0115"/>
        <s v="EMP0116"/>
        <s v="EMP0117"/>
        <s v="EMP0118"/>
        <s v="EMP0119"/>
        <s v="EMP0120"/>
        <s v="EMP0121"/>
        <s v="EMP0122"/>
        <s v="EMP0123"/>
        <s v="EMP0124"/>
        <s v="EMP0125"/>
        <s v="EMP0126"/>
        <s v="EMP0127"/>
        <s v="EMP0128"/>
        <s v="EMP0129"/>
        <s v="EMP0130"/>
        <s v="EMP0131"/>
        <s v="EMP0132"/>
        <s v="EMP0133"/>
        <s v="EMP0134"/>
        <s v="EMP0135"/>
        <s v="EMP0136"/>
        <s v="EMP0137"/>
        <s v="EMP0138"/>
        <s v="EMP0139"/>
        <s v="EMP0140"/>
        <s v="EMP0141"/>
        <s v="EMP0142"/>
        <s v="EMP0143"/>
        <s v="EMP0144"/>
        <s v="EMP0145"/>
        <s v="EMP0146"/>
        <s v="EMP0147"/>
        <s v="EMP0148"/>
        <s v="EMP0149"/>
        <s v="EMP0150"/>
        <s v="EMP0151"/>
        <s v="EMP0152"/>
        <s v="EMP0153"/>
        <s v="EMP0154"/>
        <s v="EMP0155"/>
        <s v="EMP0156"/>
        <s v="EMP0157"/>
        <s v="EMP0158"/>
        <s v="EMP0159"/>
        <s v="EMP0160"/>
        <s v="EMP0161"/>
        <s v="EMP0162"/>
        <s v="EMP0163"/>
        <s v="EMP0164"/>
        <s v="EMP0165"/>
        <s v="EMP0166"/>
        <s v="EMP0167"/>
        <s v="EMP0168"/>
        <s v="EMP0169"/>
        <s v="EMP0170"/>
        <s v="EMP0171"/>
        <s v="EMP0172"/>
        <s v="EMP0173"/>
        <s v="EMP0174"/>
        <s v="EMP0175"/>
        <s v="EMP0176"/>
        <s v="EMP0177"/>
        <s v="EMP0178"/>
        <s v="EMP0179"/>
        <s v="EMP0180"/>
        <s v="EMP0181"/>
        <s v="EMP0182"/>
        <s v="EMP0183"/>
        <s v="EMP0184"/>
        <s v="EMP0185"/>
        <s v="EMP0186"/>
        <s v="EMP0187"/>
        <s v="EMP0188"/>
        <s v="EMP0189"/>
        <s v="EMP0190"/>
        <s v="EMP0191"/>
        <s v="EMP0192"/>
        <s v="EMP0193"/>
        <s v="EMP0194"/>
        <s v="EMP0195"/>
        <s v="EMP0196"/>
        <s v="EMP0197"/>
        <s v="EMP0198"/>
        <s v="EMP0199"/>
        <s v="EMP0200"/>
        <s v="EMP0201"/>
        <s v="EMP0202"/>
        <s v="EMP0203"/>
        <s v="EMP0204"/>
        <s v="EMP0205"/>
        <s v="EMP0206"/>
        <s v="EMP0207"/>
        <s v="EMP0208"/>
        <s v="EMP0209"/>
        <s v="EMP0210"/>
        <s v="EMP0211"/>
        <s v="EMP0212"/>
        <s v="EMP0213"/>
        <s v="EMP0214"/>
        <s v="EMP0215"/>
        <s v="EMP0216"/>
        <s v="EMP0217"/>
        <s v="EMP0218"/>
        <s v="EMP0219"/>
        <s v="EMP0220"/>
        <s v="EMP0221"/>
        <s v="EMP0222"/>
        <s v="EMP0223"/>
        <s v="EMP0224"/>
        <s v="EMP0225"/>
        <s v="EMP0226"/>
        <s v="EMP0227"/>
        <s v="EMP0228"/>
        <s v="EMP0229"/>
        <s v="EMP0230"/>
        <s v="EMP0231"/>
        <s v="EMP0232"/>
        <s v="EMP0233"/>
        <s v="EMP0234"/>
        <s v="EMP0235"/>
        <s v="EMP0236"/>
        <s v="EMP0237"/>
        <s v="EMP0238"/>
        <s v="EMP0239"/>
        <s v="EMP0240"/>
        <s v="EMP0241"/>
        <s v="EMP0242"/>
        <s v="EMP0243"/>
        <s v="EMP0244"/>
        <s v="EMP0245"/>
        <s v="EMP0246"/>
        <s v="EMP0247"/>
        <s v="EMP0248"/>
        <s v="EMP0249"/>
        <s v="EMP0250"/>
        <s v="EMP0251"/>
        <s v="EMP0252"/>
        <s v="EMP0253"/>
        <s v="EMP0254"/>
        <s v="EMP0255"/>
        <s v="EMP0256"/>
        <s v="EMP0257"/>
        <s v="EMP0258"/>
        <s v="EMP0259"/>
        <s v="EMP0260"/>
        <s v="EMP0261"/>
        <s v="EMP0262"/>
        <s v="EMP0263"/>
        <s v="EMP0264"/>
        <s v="EMP0265"/>
        <s v="EMP0266"/>
        <s v="EMP0267"/>
        <s v="EMP0268"/>
        <s v="EMP0269"/>
        <s v="EMP0270"/>
        <s v="EMP0271"/>
        <s v="EMP0272"/>
        <s v="EMP0273"/>
        <s v="EMP0274"/>
        <s v="EMP0275"/>
        <s v="EMP0276"/>
        <s v="EMP0277"/>
        <s v="EMP0278"/>
        <s v="EMP0279"/>
        <s v="EMP0280"/>
        <s v="EMP0281"/>
        <s v="EMP0282"/>
        <s v="EMP0283"/>
        <s v="EMP0284"/>
        <s v="EMP0285"/>
        <s v="EMP0286"/>
        <s v="EMP0287"/>
        <s v="EMP0288"/>
        <s v="EMP0289"/>
        <s v="EMP0290"/>
        <s v="EMP0291"/>
        <s v="EMP0292"/>
        <s v="EMP0293"/>
        <s v="EMP0294"/>
        <s v="EMP0295"/>
        <s v="EMP0296"/>
        <s v="EMP0297"/>
        <s v="EMP0298"/>
        <s v="EMP0299"/>
        <s v="EMP0300"/>
        <s v="EMP0301"/>
        <s v="EMP0302"/>
        <s v="EMP0303"/>
        <s v="EMP0304"/>
        <s v="EMP0305"/>
        <s v="EMP0306"/>
        <s v="EMP0307"/>
        <s v="EMP0308"/>
        <s v="EMP0309"/>
        <s v="EMP0310"/>
        <s v="EMP0311"/>
        <s v="EMP0312"/>
        <s v="EMP0313"/>
        <s v="EMP0314"/>
        <s v="EMP0315"/>
        <s v="EMP0316"/>
        <s v="EMP0317"/>
        <s v="EMP0318"/>
        <s v="EMP0319"/>
        <s v="EMP0320"/>
        <s v="EMP0321"/>
        <s v="EMP0322"/>
        <s v="EMP0323"/>
        <s v="EMP0324"/>
        <s v="EMP0325"/>
        <s v="EMP0326"/>
        <s v="EMP0327"/>
        <s v="EMP0328"/>
        <s v="EMP0329"/>
        <s v="EMP0330"/>
        <s v="EMP0331"/>
        <s v="EMP0332"/>
        <s v="EMP0333"/>
        <s v="EMP0334"/>
        <s v="EMP0335"/>
        <s v="EMP0336"/>
        <s v="EMP0337"/>
        <s v="EMP0338"/>
        <s v="EMP0339"/>
        <s v="EMP0340"/>
        <s v="EMP0341"/>
        <s v="EMP0342"/>
        <s v="EMP0343"/>
        <s v="EMP0344"/>
        <s v="EMP0345"/>
        <s v="EMP0346"/>
        <s v="EMP0347"/>
        <s v="EMP0348"/>
        <s v="EMP0349"/>
        <s v="EMP0350"/>
        <s v="EMP0351"/>
        <s v="EMP0352"/>
        <s v="EMP0353"/>
        <s v="EMP0354"/>
        <s v="EMP0355"/>
        <s v="EMP0356"/>
        <s v="EMP0357"/>
        <s v="EMP0358"/>
        <s v="EMP0359"/>
        <s v="EMP0360"/>
        <s v="EMP0361"/>
        <s v="EMP0362"/>
        <s v="EMP0363"/>
        <s v="EMP0364"/>
        <s v="EMP0365"/>
        <s v="EMP0366"/>
        <s v="EMP0367"/>
        <s v="EMP0368"/>
        <s v="EMP0369"/>
        <s v="EMP0370"/>
        <s v="EMP0371"/>
        <s v="EMP0372"/>
        <s v="EMP0373"/>
        <s v="EMP0374"/>
        <s v="EMP0375"/>
        <s v="EMP0376"/>
        <s v="EMP0377"/>
        <s v="EMP0378"/>
        <s v="EMP0379"/>
        <s v="EMP0380"/>
        <s v="EMP0381"/>
        <s v="EMP0382"/>
        <s v="EMP0383"/>
        <s v="EMP0384"/>
        <s v="EMP0385"/>
        <s v="EMP0386"/>
        <s v="EMP0387"/>
        <s v="EMP0388"/>
        <s v="EMP0389"/>
        <s v="EMP0390"/>
        <s v="EMP0391"/>
        <s v="EMP0392"/>
        <s v="EMP0393"/>
        <s v="EMP0394"/>
        <s v="EMP0395"/>
        <s v="EMP0396"/>
        <s v="EMP0397"/>
        <s v="EMP0398"/>
        <s v="EMP0399"/>
        <s v="EMP0400"/>
        <s v="EMP0401"/>
        <s v="EMP0402"/>
        <s v="EMP0403"/>
        <s v="EMP0404"/>
        <s v="EMP0405"/>
        <s v="EMP0406"/>
        <s v="EMP0407"/>
        <s v="EMP0408"/>
        <s v="EMP0409"/>
        <s v="EMP0410"/>
        <s v="EMP0411"/>
        <s v="EMP0412"/>
        <s v="EMP0413"/>
        <s v="EMP0414"/>
        <s v="EMP0415"/>
        <s v="EMP0416"/>
        <s v="EMP0417"/>
        <s v="EMP0418"/>
        <s v="EMP0419"/>
        <s v="EMP0420"/>
        <s v="EMP0421"/>
        <s v="EMP0422"/>
        <s v="EMP0423"/>
        <s v="EMP0424"/>
        <s v="EMP0425"/>
        <s v="EMP0426"/>
        <s v="EMP0427"/>
        <s v="EMP0428"/>
        <s v="EMP0429"/>
        <s v="EMP0430"/>
        <s v="EMP0431"/>
        <s v="EMP0432"/>
        <s v="EMP0433"/>
        <s v="EMP0434"/>
        <s v="EMP0435"/>
        <s v="EMP0436"/>
        <s v="EMP0437"/>
        <s v="EMP0438"/>
        <s v="EMP0439"/>
        <s v="EMP0440"/>
        <s v="EMP0441"/>
        <s v="EMP0442"/>
        <s v="EMP0443"/>
        <s v="EMP0444"/>
        <s v="EMP0445"/>
        <s v="EMP0446"/>
        <s v="EMP0447"/>
        <s v="EMP0448"/>
        <s v="EMP0449"/>
        <s v="EMP0450"/>
        <s v="EMP0451"/>
        <s v="EMP0452"/>
        <s v="EMP0453"/>
        <s v="EMP0454"/>
        <s v="EMP0455"/>
        <s v="EMP0456"/>
        <s v="EMP0457"/>
        <s v="EMP0458"/>
        <s v="EMP0459"/>
        <s v="EMP0460"/>
        <s v="EMP0461"/>
        <s v="EMP0462"/>
        <s v="EMP0463"/>
        <s v="EMP0464"/>
        <s v="EMP0465"/>
        <s v="EMP0466"/>
        <s v="EMP0467"/>
        <s v="EMP0468"/>
        <s v="EMP0469"/>
        <s v="EMP0470"/>
        <s v="EMP0471"/>
        <s v="EMP0472"/>
        <s v="EMP0473"/>
        <s v="EMP0474"/>
        <s v="EMP0475"/>
        <s v="EMP0476"/>
        <s v="EMP0477"/>
        <s v="EMP0478"/>
        <s v="EMP0479"/>
        <s v="EMP0480"/>
        <s v="EMP0481"/>
        <s v="EMP0482"/>
        <s v="EMP0483"/>
        <s v="EMP0484"/>
        <s v="EMP0485"/>
        <s v="EMP0486"/>
        <s v="EMP0487"/>
        <s v="EMP0488"/>
        <s v="EMP0489"/>
        <s v="EMP0490"/>
        <s v="EMP0491"/>
        <s v="EMP0492"/>
        <s v="EMP0493"/>
        <s v="EMP0494"/>
        <s v="EMP0495"/>
        <s v="EMP0496"/>
        <s v="EMP0497"/>
        <s v="EMP0498"/>
        <s v="EMP0499"/>
        <s v="EMP0500"/>
      </sharedItems>
    </cacheField>
    <cacheField name="Employee_Name" numFmtId="0">
      <sharedItems count="153">
        <s v="Priya Joshi"/>
        <s v="Karan Joshi"/>
        <s v="Yash Kale"/>
        <s v="Priya Kale"/>
        <s v="Rahul Singh"/>
        <s v="Rohan Verma"/>
        <s v="Aarav Joshi"/>
        <s v="Rohan More"/>
        <s v="Rahul Patil"/>
        <s v="Neha Joshi"/>
        <s v="Aditya Verma"/>
        <s v="Ajinkya Sharma"/>
        <s v="Ananya Jadhav"/>
        <s v="Isha Joshi"/>
        <s v="Sayali Patil"/>
        <s v="Ananya Sharma"/>
        <s v="Sakshi Verma"/>
        <s v="Rahul Joshi"/>
        <s v="Rohan Kale"/>
        <s v="Om Sharma"/>
        <s v="Ajinkya Verma"/>
        <s v="Pooja Joshi"/>
        <s v="Rohan Singh"/>
        <s v="Aditya Sharma"/>
        <s v="Aarav Singh"/>
        <s v="Nikita More"/>
        <s v="Isha Kale"/>
        <s v="Pooja Patil"/>
        <s v="Priya Verma"/>
        <s v="Ajinkya Jadhav"/>
        <s v="Priya Sharma"/>
        <s v="Neha Jadhav"/>
        <s v="Isha Sharma"/>
        <s v="Riya Kale"/>
        <s v="Riya Joshi"/>
        <s v="Amit Verma"/>
        <s v="Pooja Verma"/>
        <s v="Sneha Patil"/>
        <s v="Sayali Sharma"/>
        <s v="Ananya Patil"/>
        <s v="Ananya Joshi"/>
        <s v="Yash More"/>
        <s v="Om Singh"/>
        <s v="Priya Singh"/>
        <s v="Karan Sharma"/>
        <s v="Karan Kale"/>
        <s v="Sakshi Kale"/>
        <s v="Ajinkya Kale"/>
        <s v="Neha Verma"/>
        <s v="Isha Patil"/>
        <s v="Nikita Jadhav"/>
        <s v="Rahul Sharma"/>
        <s v="Amit Sharma"/>
        <s v="Aarav Patil"/>
        <s v="Sneha Jadhav"/>
        <s v="Neha Kale"/>
        <s v="Rohan Joshi"/>
        <s v="Karan Jadhav"/>
        <s v="Pooja Jadhav"/>
        <s v="Neha Sharma"/>
        <s v="Yash Jadhav"/>
        <s v="Riya Verma"/>
        <s v="Sakshi More"/>
        <s v="Isha Singh"/>
        <s v="Vivaan Patil"/>
        <s v="Sakshi Sharma"/>
        <s v="Aarav Sharma"/>
        <s v="Nikita Singh"/>
        <s v="Neha Patil"/>
        <s v="Amit Kale"/>
        <s v="Karan Patil"/>
        <s v="Amit Jadhav"/>
        <s v="Yash Patil"/>
        <s v="Yash Singh"/>
        <s v="Sneha Singh"/>
        <s v="Aditya Joshi"/>
        <s v="Pooja Singh"/>
        <s v="Ananya Singh"/>
        <s v="Yash Verma"/>
        <s v="Sneha More"/>
        <s v="Sakshi Joshi"/>
        <s v="Vivaan Kale"/>
        <s v="Sakshi Singh"/>
        <s v="Riya Jadhav"/>
        <s v="Karan Singh"/>
        <s v="Riya Sharma"/>
        <s v="Vivaan Verma"/>
        <s v="Nikita Verma"/>
        <s v="Rahul Verma"/>
        <s v="Amit Singh"/>
        <s v="Amit Joshi"/>
        <s v="Riya Patil"/>
        <s v="Amit More"/>
        <s v="Rahul More"/>
        <s v="Rahul Jadhav"/>
        <s v="Nikita Joshi"/>
        <s v="Sneha Verma"/>
        <s v="Yash Sharma"/>
        <s v="Aarav Jadhav"/>
        <s v="Sayali Kale"/>
        <s v="Aarav Kale"/>
        <s v="Isha Jadhav"/>
        <s v="Sayali Jadhav"/>
        <s v="Aditya More"/>
        <s v="Om More"/>
        <s v="Neha Singh"/>
        <s v="Yash Joshi"/>
        <s v="Pooja Kale"/>
        <s v="Sneha Kale"/>
        <s v="Isha More"/>
        <s v="Ajinkya Patil"/>
        <s v="Sakshi Jadhav"/>
        <s v="Priya Jadhav"/>
        <s v="Rahul Kale"/>
        <s v="Ananya Verma"/>
        <s v="Sneha Joshi"/>
        <s v="Ananya More"/>
        <s v="Sayali Singh"/>
        <s v="Neha More"/>
        <s v="Pooja Sharma"/>
        <s v="Sayali Verma"/>
        <s v="Isha Verma"/>
        <s v="Nikita Sharma"/>
        <s v="Priya Patil"/>
        <s v="Aditya Singh"/>
        <s v="Om Verma"/>
        <s v="Vivaan More"/>
        <s v="Pooja More"/>
        <s v="Rohan Patil"/>
        <s v="Rohan Sharma"/>
        <s v="Aditya Patil"/>
        <s v="Nikita Patil"/>
        <s v="Riya Singh"/>
        <s v="Riya More"/>
        <s v="Vivaan Singh"/>
        <s v="Om Patil"/>
        <s v="Priya More"/>
        <s v="Aditya Kale"/>
        <s v="Aditya Jadhav"/>
        <s v="Sayali Joshi"/>
        <s v="Om Kale"/>
        <s v="Vivaan Jadhav"/>
        <s v="Karan More"/>
        <s v="Vivaan Sharma"/>
        <s v="Ajinkya Joshi"/>
        <s v="Rohan Jadhav"/>
        <s v="Amit Patil"/>
        <s v="Sakshi Patil"/>
        <s v="Sneha Sharma"/>
        <s v="Vivaan Joshi"/>
        <s v="Ajinkya Singh"/>
        <s v="Sayali More"/>
        <s v="Karan Verma"/>
      </sharedItems>
    </cacheField>
    <cacheField name="Gender" numFmtId="0">
      <sharedItems count="2">
        <s v="Female"/>
        <s v="Male"/>
      </sharedItems>
    </cacheField>
    <cacheField name="Age" numFmtId="0">
      <sharedItems containsSemiMixedTypes="0" containsString="0" containsNumber="1" containsInteger="1" minValue="22" maxValue="50"/>
    </cacheField>
    <cacheField name="Department" numFmtId="0">
      <sharedItems count="6">
        <s v="Finance"/>
        <s v="IT"/>
        <s v="Marketing"/>
        <s v="Operations"/>
        <s v="Sales"/>
        <s v="HR"/>
      </sharedItems>
    </cacheField>
    <cacheField name="City" numFmtId="0">
      <sharedItems count="7">
        <s v="Hyderabad"/>
        <s v="Delhi"/>
        <s v="Nashik"/>
        <s v="Pune"/>
        <s v="Nagpur"/>
        <s v="Mumbai"/>
        <s v="Bengaluru"/>
      </sharedItems>
    </cacheField>
    <cacheField name="Joining_Date" numFmtId="0">
      <sharedItems/>
    </cacheField>
    <cacheField name="Experience_Years" numFmtId="0">
      <sharedItems containsSemiMixedTypes="0" containsString="0" containsNumber="1" containsInteger="1" minValue="0" maxValue="15" count="16">
        <n v="12"/>
        <n v="11"/>
        <n v="10"/>
        <n v="9"/>
        <n v="15"/>
        <n v="2"/>
        <n v="5"/>
        <n v="13"/>
        <n v="0"/>
        <n v="3"/>
        <n v="7"/>
        <n v="4"/>
        <n v="1"/>
        <n v="14"/>
        <n v="8"/>
        <n v="6"/>
      </sharedItems>
      <fieldGroup base="7">
        <rangePr startNum="0" endNum="15" groupInterval="3"/>
        <groupItems count="7">
          <s v="&lt;0"/>
          <s v="0-2"/>
          <s v="3-5"/>
          <s v="6-8"/>
          <s v="9-11"/>
          <s v="12-15"/>
          <s v="&gt;15"/>
        </groupItems>
      </fieldGroup>
    </cacheField>
    <cacheField name="Salary" numFmtId="0">
      <sharedItems containsSemiMixedTypes="0" containsString="0" containsNumber="1" containsInteger="1" minValue="25025" maxValue="119846" count="496">
        <n v="40294"/>
        <n v="107034"/>
        <n v="27581"/>
        <n v="79633"/>
        <n v="110395"/>
        <n v="105467"/>
        <n v="102946"/>
        <n v="27366"/>
        <n v="38125"/>
        <n v="114805"/>
        <n v="53892"/>
        <n v="83849"/>
        <n v="74633"/>
        <n v="35560"/>
        <n v="63620"/>
        <n v="65320"/>
        <n v="54397"/>
        <n v="37680"/>
        <n v="42537"/>
        <n v="100287"/>
        <n v="88459"/>
        <n v="112307"/>
        <n v="40421"/>
        <n v="55391"/>
        <n v="33527"/>
        <n v="91172"/>
        <n v="39330"/>
        <n v="44769"/>
        <n v="46978"/>
        <n v="27894"/>
        <n v="88696"/>
        <n v="37743"/>
        <n v="31715"/>
        <n v="71033"/>
        <n v="118741"/>
        <n v="117367"/>
        <n v="77566"/>
        <n v="72030"/>
        <n v="88616"/>
        <n v="56368"/>
        <n v="115378"/>
        <n v="109081"/>
        <n v="84961"/>
        <n v="32631"/>
        <n v="42009"/>
        <n v="115403"/>
        <n v="103697"/>
        <n v="42031"/>
        <n v="30980"/>
        <n v="85401"/>
        <n v="37842"/>
        <n v="66149"/>
        <n v="71978"/>
        <n v="111773"/>
        <n v="80997"/>
        <n v="69986"/>
        <n v="63150"/>
        <n v="102858"/>
        <n v="80934"/>
        <n v="115654"/>
        <n v="48783"/>
        <n v="83360"/>
        <n v="41802"/>
        <n v="40962"/>
        <n v="119452"/>
        <n v="91992"/>
        <n v="94082"/>
        <n v="52859"/>
        <n v="91840"/>
        <n v="108553"/>
        <n v="59369"/>
        <n v="71413"/>
        <n v="80399"/>
        <n v="87725"/>
        <n v="91850"/>
        <n v="54253"/>
        <n v="43933"/>
        <n v="47456"/>
        <n v="113284"/>
        <n v="77531"/>
        <n v="40465"/>
        <n v="42371"/>
        <n v="37757"/>
        <n v="95084"/>
        <n v="113997"/>
        <n v="81409"/>
        <n v="104974"/>
        <n v="71832"/>
        <n v="71239"/>
        <n v="26556"/>
        <n v="40172"/>
        <n v="39844"/>
        <n v="79640"/>
        <n v="55675"/>
        <n v="101067"/>
        <n v="113763"/>
        <n v="113858"/>
        <n v="70517"/>
        <n v="46066"/>
        <n v="41192"/>
        <n v="85193"/>
        <n v="96911"/>
        <n v="71132"/>
        <n v="96034"/>
        <n v="78175"/>
        <n v="81661"/>
        <n v="67184"/>
        <n v="69593"/>
        <n v="33950"/>
        <n v="32572"/>
        <n v="62860"/>
        <n v="82238"/>
        <n v="59022"/>
        <n v="85197"/>
        <n v="77460"/>
        <n v="57254"/>
        <n v="25025"/>
        <n v="36297"/>
        <n v="45185"/>
        <n v="112167"/>
        <n v="29561"/>
        <n v="87635"/>
        <n v="38363"/>
        <n v="75363"/>
        <n v="70696"/>
        <n v="100240"/>
        <n v="94763"/>
        <n v="42513"/>
        <n v="80889"/>
        <n v="32973"/>
        <n v="44799"/>
        <n v="47110"/>
        <n v="25205"/>
        <n v="101683"/>
        <n v="90684"/>
        <n v="88756"/>
        <n v="92481"/>
        <n v="63394"/>
        <n v="105267"/>
        <n v="64931"/>
        <n v="90473"/>
        <n v="73709"/>
        <n v="98207"/>
        <n v="39957"/>
        <n v="49880"/>
        <n v="63579"/>
        <n v="91493"/>
        <n v="66826"/>
        <n v="41657"/>
        <n v="39651"/>
        <n v="107272"/>
        <n v="110675"/>
        <n v="82569"/>
        <n v="89446"/>
        <n v="81438"/>
        <n v="76881"/>
        <n v="49325"/>
        <n v="73045"/>
        <n v="72264"/>
        <n v="72103"/>
        <n v="37304"/>
        <n v="54886"/>
        <n v="48799"/>
        <n v="27189"/>
        <n v="34102"/>
        <n v="63552"/>
        <n v="56467"/>
        <n v="114495"/>
        <n v="28469"/>
        <n v="35372"/>
        <n v="111707"/>
        <n v="61053"/>
        <n v="87241"/>
        <n v="55434"/>
        <n v="48622"/>
        <n v="106100"/>
        <n v="52937"/>
        <n v="43034"/>
        <n v="61181"/>
        <n v="102559"/>
        <n v="86679"/>
        <n v="90034"/>
        <n v="33230"/>
        <n v="29493"/>
        <n v="100176"/>
        <n v="98394"/>
        <n v="49822"/>
        <n v="69132"/>
        <n v="115576"/>
        <n v="64461"/>
        <n v="71431"/>
        <n v="113177"/>
        <n v="77354"/>
        <n v="117735"/>
        <n v="108954"/>
        <n v="98150"/>
        <n v="91876"/>
        <n v="103855"/>
        <n v="104773"/>
        <n v="96958"/>
        <n v="30158"/>
        <n v="103644"/>
        <n v="100527"/>
        <n v="75241"/>
        <n v="107694"/>
        <n v="103275"/>
        <n v="65762"/>
        <n v="44360"/>
        <n v="93842"/>
        <n v="79662"/>
        <n v="35954"/>
        <n v="81087"/>
        <n v="46286"/>
        <n v="84385"/>
        <n v="43111"/>
        <n v="109226"/>
        <n v="64304"/>
        <n v="94570"/>
        <n v="94959"/>
        <n v="82527"/>
        <n v="76325"/>
        <n v="37077"/>
        <n v="27249"/>
        <n v="66480"/>
        <n v="26256"/>
        <n v="77555"/>
        <n v="78780"/>
        <n v="87286"/>
        <n v="31246"/>
        <n v="67615"/>
        <n v="45802"/>
        <n v="74669"/>
        <n v="94139"/>
        <n v="105560"/>
        <n v="99192"/>
        <n v="64452"/>
        <n v="83833"/>
        <n v="32251"/>
        <n v="100073"/>
        <n v="36869"/>
        <n v="94105"/>
        <n v="37594"/>
        <n v="93924"/>
        <n v="80894"/>
        <n v="67533"/>
        <n v="75879"/>
        <n v="75778"/>
        <n v="51459"/>
        <n v="57470"/>
        <n v="103797"/>
        <n v="32370"/>
        <n v="77699"/>
        <n v="110670"/>
        <n v="85331"/>
        <n v="104029"/>
        <n v="84200"/>
        <n v="45780"/>
        <n v="101946"/>
        <n v="47265"/>
        <n v="101310"/>
        <n v="28704"/>
        <n v="82693"/>
        <n v="98770"/>
        <n v="96757"/>
        <n v="102680"/>
        <n v="49320"/>
        <n v="75844"/>
        <n v="95233"/>
        <n v="94426"/>
        <n v="53457"/>
        <n v="102862"/>
        <n v="54896"/>
        <n v="93398"/>
        <n v="108186"/>
        <n v="103184"/>
        <n v="67895"/>
        <n v="56442"/>
        <n v="93987"/>
        <n v="84221"/>
        <n v="74067"/>
        <n v="88715"/>
        <n v="101212"/>
        <n v="27749"/>
        <n v="41763"/>
        <n v="91958"/>
        <n v="35489"/>
        <n v="110865"/>
        <n v="42285"/>
        <n v="109672"/>
        <n v="79867"/>
        <n v="86263"/>
        <n v="104652"/>
        <n v="61103"/>
        <n v="100744"/>
        <n v="29687"/>
        <n v="28693"/>
        <n v="34779"/>
        <n v="104821"/>
        <n v="48700"/>
        <n v="96826"/>
        <n v="111122"/>
        <n v="27182"/>
        <n v="33496"/>
        <n v="111235"/>
        <n v="34812"/>
        <n v="81542"/>
        <n v="58648"/>
        <n v="37752"/>
        <n v="82533"/>
        <n v="113498"/>
        <n v="34873"/>
        <n v="74996"/>
        <n v="60265"/>
        <n v="73380"/>
        <n v="83185"/>
        <n v="45412"/>
        <n v="41579"/>
        <n v="116032"/>
        <n v="57761"/>
        <n v="40008"/>
        <n v="111054"/>
        <n v="38728"/>
        <n v="46360"/>
        <n v="42041"/>
        <n v="54613"/>
        <n v="91143"/>
        <n v="46973"/>
        <n v="95457"/>
        <n v="56586"/>
        <n v="34611"/>
        <n v="72459"/>
        <n v="66928"/>
        <n v="113364"/>
        <n v="40094"/>
        <n v="55218"/>
        <n v="70633"/>
        <n v="114964"/>
        <n v="70694"/>
        <n v="109784"/>
        <n v="105400"/>
        <n v="91620"/>
        <n v="63563"/>
        <n v="48831"/>
        <n v="81982"/>
        <n v="86477"/>
        <n v="27893"/>
        <n v="56972"/>
        <n v="53335"/>
        <n v="28799"/>
        <n v="102453"/>
        <n v="94132"/>
        <n v="89470"/>
        <n v="58470"/>
        <n v="96956"/>
        <n v="39920"/>
        <n v="96356"/>
        <n v="29447"/>
        <n v="106913"/>
        <n v="48819"/>
        <n v="78470"/>
        <n v="109528"/>
        <n v="80383"/>
        <n v="99512"/>
        <n v="49578"/>
        <n v="38401"/>
        <n v="38064"/>
        <n v="96793"/>
        <n v="96889"/>
        <n v="81400"/>
        <n v="70889"/>
        <n v="79180"/>
        <n v="60663"/>
        <n v="69791"/>
        <n v="58797"/>
        <n v="51853"/>
        <n v="91936"/>
        <n v="93243"/>
        <n v="91720"/>
        <n v="79679"/>
        <n v="106029"/>
        <n v="59078"/>
        <n v="119846"/>
        <n v="116179"/>
        <n v="31996"/>
        <n v="90388"/>
        <n v="83963"/>
        <n v="117930"/>
        <n v="87342"/>
        <n v="106677"/>
        <n v="74764"/>
        <n v="64233"/>
        <n v="57487"/>
        <n v="119217"/>
        <n v="78107"/>
        <n v="119558"/>
        <n v="73300"/>
        <n v="81985"/>
        <n v="111148"/>
        <n v="57874"/>
        <n v="78451"/>
        <n v="83091"/>
        <n v="51391"/>
        <n v="90535"/>
        <n v="116016"/>
        <n v="49617"/>
        <n v="67305"/>
        <n v="91647"/>
        <n v="116291"/>
        <n v="31174"/>
        <n v="107200"/>
        <n v="101102"/>
        <n v="108243"/>
        <n v="73433"/>
        <n v="112417"/>
        <n v="59146"/>
        <n v="88362"/>
        <n v="26732"/>
        <n v="74577"/>
        <n v="95510"/>
        <n v="31648"/>
        <n v="64758"/>
        <n v="26467"/>
        <n v="66553"/>
        <n v="108930"/>
        <n v="50264"/>
        <n v="29067"/>
        <n v="103208"/>
        <n v="60457"/>
        <n v="35734"/>
        <n v="55513"/>
        <n v="84513"/>
        <n v="55812"/>
        <n v="100108"/>
        <n v="54361"/>
        <n v="59400"/>
        <n v="81756"/>
        <n v="48967"/>
        <n v="35348"/>
        <n v="61286"/>
        <n v="112162"/>
        <n v="116884"/>
        <n v="29695"/>
        <n v="60902"/>
        <n v="38760"/>
        <n v="94154"/>
        <n v="53537"/>
        <n v="88283"/>
        <n v="105443"/>
        <n v="111694"/>
        <n v="118317"/>
        <n v="77534"/>
        <n v="53412"/>
        <n v="48777"/>
        <n v="79114"/>
        <n v="117375"/>
        <n v="60027"/>
        <n v="49829"/>
        <n v="25964"/>
        <n v="92138"/>
        <n v="119168"/>
        <n v="33130"/>
        <n v="41151"/>
        <n v="61811"/>
        <n v="107640"/>
        <n v="118620"/>
        <n v="83940"/>
        <n v="51984"/>
        <n v="31540"/>
        <n v="92871"/>
        <n v="27221"/>
        <n v="109247"/>
        <n v="67698"/>
        <n v="84177"/>
        <n v="33387"/>
        <n v="95484"/>
        <n v="26004"/>
        <n v="75450"/>
        <n v="27601"/>
        <n v="58516"/>
        <n v="81054"/>
        <n v="73955"/>
        <n v="33935"/>
        <n v="54342"/>
        <n v="29978"/>
        <n v="111575"/>
        <n v="117797"/>
        <n v="92601"/>
        <n v="93610"/>
        <n v="54477"/>
        <n v="41142"/>
        <n v="112526"/>
        <n v="49807"/>
        <n v="80137"/>
        <n v="115479"/>
        <n v="90884"/>
        <n v="48820"/>
      </sharedItems>
    </cacheField>
    <cacheField name="Bonus" numFmtId="0">
      <sharedItems containsSemiMixedTypes="0" containsString="0" containsNumber="1" containsInteger="1" minValue="1313" maxValue="23115"/>
    </cacheField>
    <cacheField name="Attendance_%" numFmtId="0">
      <sharedItems containsSemiMixedTypes="0" containsString="0" containsNumber="1" containsInteger="1" minValue="75" maxValue="100"/>
    </cacheField>
    <cacheField name="Performance_Rating" numFmtId="0">
      <sharedItems count="4">
        <s v="Excellent"/>
        <s v="Good"/>
        <s v="Average"/>
        <s v="Poor"/>
      </sharedItems>
    </cacheField>
    <cacheField name="Promotion_Status" numFmtId="0">
      <sharedItems count="2">
        <s v="No"/>
        <s v="Yes"/>
      </sharedItems>
    </cacheField>
    <cacheField name="Manager_Name" numFmtId="0">
      <sharedItems count="5">
        <s v="Karan Singh"/>
        <s v="Rahul Sharma"/>
        <s v="Amit Verma"/>
        <s v="Sneha Joshi"/>
        <s v="Priya Patil"/>
      </sharedItems>
    </cacheField>
  </cacheFields>
  <extLst>
    <ext xmlns:x14="http://schemas.microsoft.com/office/spreadsheetml/2009/9/main" uri="{725AE2AE-9491-48be-B2B4-4EB974FC3084}">
      <x14:pivotCacheDefinition pivotCacheId="5202672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n v="34"/>
    <x v="0"/>
    <x v="0"/>
    <s v="2019-06-21"/>
    <x v="0"/>
    <x v="0"/>
    <n v="3224"/>
    <n v="75"/>
    <x v="0"/>
    <x v="0"/>
    <x v="0"/>
  </r>
  <r>
    <x v="1"/>
    <x v="1"/>
    <x v="0"/>
    <n v="38"/>
    <x v="1"/>
    <x v="1"/>
    <s v="2021-07-22"/>
    <x v="1"/>
    <x v="1"/>
    <n v="5352"/>
    <n v="79"/>
    <x v="0"/>
    <x v="0"/>
    <x v="1"/>
  </r>
  <r>
    <x v="2"/>
    <x v="2"/>
    <x v="1"/>
    <n v="36"/>
    <x v="2"/>
    <x v="0"/>
    <s v="2022-09-08"/>
    <x v="2"/>
    <x v="2"/>
    <n v="4413"/>
    <n v="78"/>
    <x v="1"/>
    <x v="0"/>
    <x v="2"/>
  </r>
  <r>
    <x v="3"/>
    <x v="3"/>
    <x v="0"/>
    <n v="26"/>
    <x v="3"/>
    <x v="0"/>
    <s v="2021-07-10"/>
    <x v="3"/>
    <x v="3"/>
    <n v="7167"/>
    <n v="79"/>
    <x v="2"/>
    <x v="0"/>
    <x v="1"/>
  </r>
  <r>
    <x v="4"/>
    <x v="4"/>
    <x v="0"/>
    <n v="29"/>
    <x v="1"/>
    <x v="0"/>
    <s v="2021-12-28"/>
    <x v="4"/>
    <x v="4"/>
    <n v="13247"/>
    <n v="79"/>
    <x v="2"/>
    <x v="0"/>
    <x v="3"/>
  </r>
  <r>
    <x v="5"/>
    <x v="5"/>
    <x v="1"/>
    <n v="34"/>
    <x v="4"/>
    <x v="2"/>
    <s v="2022-11-28"/>
    <x v="3"/>
    <x v="5"/>
    <n v="17929"/>
    <n v="93"/>
    <x v="1"/>
    <x v="0"/>
    <x v="4"/>
  </r>
  <r>
    <x v="6"/>
    <x v="6"/>
    <x v="1"/>
    <n v="46"/>
    <x v="0"/>
    <x v="1"/>
    <s v="2019-06-09"/>
    <x v="5"/>
    <x v="6"/>
    <n v="11324"/>
    <n v="80"/>
    <x v="1"/>
    <x v="0"/>
    <x v="2"/>
  </r>
  <r>
    <x v="7"/>
    <x v="7"/>
    <x v="0"/>
    <n v="43"/>
    <x v="0"/>
    <x v="0"/>
    <s v="2021-09-05"/>
    <x v="6"/>
    <x v="7"/>
    <n v="2189"/>
    <n v="93"/>
    <x v="1"/>
    <x v="0"/>
    <x v="4"/>
  </r>
  <r>
    <x v="8"/>
    <x v="8"/>
    <x v="0"/>
    <n v="38"/>
    <x v="5"/>
    <x v="3"/>
    <s v="2020-11-19"/>
    <x v="0"/>
    <x v="8"/>
    <n v="6100"/>
    <n v="82"/>
    <x v="0"/>
    <x v="0"/>
    <x v="0"/>
  </r>
  <r>
    <x v="9"/>
    <x v="9"/>
    <x v="1"/>
    <n v="42"/>
    <x v="5"/>
    <x v="3"/>
    <s v="2019-10-22"/>
    <x v="1"/>
    <x v="9"/>
    <n v="17221"/>
    <n v="82"/>
    <x v="0"/>
    <x v="0"/>
    <x v="2"/>
  </r>
  <r>
    <x v="10"/>
    <x v="10"/>
    <x v="1"/>
    <n v="22"/>
    <x v="1"/>
    <x v="4"/>
    <s v="2021-12-22"/>
    <x v="7"/>
    <x v="10"/>
    <n v="10778"/>
    <n v="82"/>
    <x v="3"/>
    <x v="0"/>
    <x v="3"/>
  </r>
  <r>
    <x v="11"/>
    <x v="11"/>
    <x v="0"/>
    <n v="42"/>
    <x v="2"/>
    <x v="3"/>
    <s v="2024-02-17"/>
    <x v="5"/>
    <x v="11"/>
    <n v="15931"/>
    <n v="75"/>
    <x v="0"/>
    <x v="0"/>
    <x v="0"/>
  </r>
  <r>
    <x v="12"/>
    <x v="12"/>
    <x v="0"/>
    <n v="43"/>
    <x v="1"/>
    <x v="5"/>
    <s v="2025-10-18"/>
    <x v="5"/>
    <x v="12"/>
    <n v="8956"/>
    <n v="81"/>
    <x v="1"/>
    <x v="0"/>
    <x v="4"/>
  </r>
  <r>
    <x v="13"/>
    <x v="13"/>
    <x v="0"/>
    <n v="24"/>
    <x v="4"/>
    <x v="3"/>
    <s v="2022-11-27"/>
    <x v="8"/>
    <x v="13"/>
    <n v="4267"/>
    <n v="97"/>
    <x v="1"/>
    <x v="0"/>
    <x v="4"/>
  </r>
  <r>
    <x v="14"/>
    <x v="14"/>
    <x v="0"/>
    <n v="22"/>
    <x v="5"/>
    <x v="0"/>
    <s v="2024-08-02"/>
    <x v="9"/>
    <x v="14"/>
    <n v="6362"/>
    <n v="79"/>
    <x v="2"/>
    <x v="0"/>
    <x v="2"/>
  </r>
  <r>
    <x v="15"/>
    <x v="15"/>
    <x v="1"/>
    <n v="37"/>
    <x v="1"/>
    <x v="6"/>
    <s v="2019-08-24"/>
    <x v="0"/>
    <x v="15"/>
    <n v="7185"/>
    <n v="85"/>
    <x v="0"/>
    <x v="0"/>
    <x v="0"/>
  </r>
  <r>
    <x v="16"/>
    <x v="16"/>
    <x v="1"/>
    <n v="22"/>
    <x v="0"/>
    <x v="2"/>
    <s v="2023-03-14"/>
    <x v="10"/>
    <x v="16"/>
    <n v="5440"/>
    <n v="87"/>
    <x v="2"/>
    <x v="0"/>
    <x v="4"/>
  </r>
  <r>
    <x v="17"/>
    <x v="17"/>
    <x v="1"/>
    <n v="35"/>
    <x v="2"/>
    <x v="0"/>
    <s v="2021-02-15"/>
    <x v="4"/>
    <x v="17"/>
    <n v="4898"/>
    <n v="82"/>
    <x v="2"/>
    <x v="0"/>
    <x v="1"/>
  </r>
  <r>
    <x v="18"/>
    <x v="18"/>
    <x v="0"/>
    <n v="23"/>
    <x v="5"/>
    <x v="0"/>
    <s v="2019-03-01"/>
    <x v="3"/>
    <x v="18"/>
    <n v="6806"/>
    <n v="91"/>
    <x v="2"/>
    <x v="0"/>
    <x v="2"/>
  </r>
  <r>
    <x v="19"/>
    <x v="19"/>
    <x v="1"/>
    <n v="47"/>
    <x v="4"/>
    <x v="5"/>
    <s v="2018-11-26"/>
    <x v="10"/>
    <x v="19"/>
    <n v="20057"/>
    <n v="94"/>
    <x v="1"/>
    <x v="0"/>
    <x v="3"/>
  </r>
  <r>
    <x v="20"/>
    <x v="20"/>
    <x v="0"/>
    <n v="40"/>
    <x v="3"/>
    <x v="5"/>
    <s v="2022-06-10"/>
    <x v="8"/>
    <x v="20"/>
    <n v="14153"/>
    <n v="82"/>
    <x v="2"/>
    <x v="0"/>
    <x v="0"/>
  </r>
  <r>
    <x v="21"/>
    <x v="21"/>
    <x v="1"/>
    <n v="40"/>
    <x v="1"/>
    <x v="3"/>
    <s v="2023-12-13"/>
    <x v="11"/>
    <x v="21"/>
    <n v="13477"/>
    <n v="94"/>
    <x v="1"/>
    <x v="0"/>
    <x v="4"/>
  </r>
  <r>
    <x v="22"/>
    <x v="22"/>
    <x v="0"/>
    <n v="42"/>
    <x v="2"/>
    <x v="3"/>
    <s v="2021-07-25"/>
    <x v="6"/>
    <x v="22"/>
    <n v="2021"/>
    <n v="75"/>
    <x v="1"/>
    <x v="0"/>
    <x v="4"/>
  </r>
  <r>
    <x v="23"/>
    <x v="23"/>
    <x v="0"/>
    <n v="42"/>
    <x v="0"/>
    <x v="6"/>
    <s v="2019-01-13"/>
    <x v="9"/>
    <x v="23"/>
    <n v="5539"/>
    <n v="89"/>
    <x v="2"/>
    <x v="0"/>
    <x v="4"/>
  </r>
  <r>
    <x v="24"/>
    <x v="24"/>
    <x v="1"/>
    <n v="24"/>
    <x v="0"/>
    <x v="1"/>
    <s v="2019-03-23"/>
    <x v="7"/>
    <x v="24"/>
    <n v="3688"/>
    <n v="89"/>
    <x v="3"/>
    <x v="0"/>
    <x v="4"/>
  </r>
  <r>
    <x v="25"/>
    <x v="25"/>
    <x v="1"/>
    <n v="27"/>
    <x v="1"/>
    <x v="4"/>
    <s v="2019-11-25"/>
    <x v="6"/>
    <x v="25"/>
    <n v="13676"/>
    <n v="91"/>
    <x v="0"/>
    <x v="1"/>
    <x v="3"/>
  </r>
  <r>
    <x v="26"/>
    <x v="26"/>
    <x v="1"/>
    <n v="42"/>
    <x v="3"/>
    <x v="4"/>
    <s v="2020-09-09"/>
    <x v="12"/>
    <x v="26"/>
    <n v="7866"/>
    <n v="84"/>
    <x v="2"/>
    <x v="0"/>
    <x v="1"/>
  </r>
  <r>
    <x v="27"/>
    <x v="16"/>
    <x v="1"/>
    <n v="44"/>
    <x v="0"/>
    <x v="2"/>
    <s v="2025-01-01"/>
    <x v="6"/>
    <x v="27"/>
    <n v="2686"/>
    <n v="78"/>
    <x v="3"/>
    <x v="0"/>
    <x v="1"/>
  </r>
  <r>
    <x v="28"/>
    <x v="27"/>
    <x v="1"/>
    <n v="29"/>
    <x v="3"/>
    <x v="1"/>
    <s v="2019-07-28"/>
    <x v="9"/>
    <x v="28"/>
    <n v="4698"/>
    <n v="98"/>
    <x v="2"/>
    <x v="0"/>
    <x v="4"/>
  </r>
  <r>
    <x v="29"/>
    <x v="28"/>
    <x v="0"/>
    <n v="27"/>
    <x v="4"/>
    <x v="5"/>
    <s v="2018-01-07"/>
    <x v="13"/>
    <x v="29"/>
    <n v="2789"/>
    <n v="85"/>
    <x v="2"/>
    <x v="0"/>
    <x v="1"/>
  </r>
  <r>
    <x v="30"/>
    <x v="29"/>
    <x v="1"/>
    <n v="36"/>
    <x v="4"/>
    <x v="5"/>
    <s v="2024-05-07"/>
    <x v="0"/>
    <x v="30"/>
    <n v="8870"/>
    <n v="91"/>
    <x v="3"/>
    <x v="0"/>
    <x v="0"/>
  </r>
  <r>
    <x v="31"/>
    <x v="30"/>
    <x v="1"/>
    <n v="31"/>
    <x v="3"/>
    <x v="6"/>
    <s v="2024-03-11"/>
    <x v="1"/>
    <x v="31"/>
    <n v="7549"/>
    <n v="98"/>
    <x v="0"/>
    <x v="1"/>
    <x v="4"/>
  </r>
  <r>
    <x v="32"/>
    <x v="17"/>
    <x v="1"/>
    <n v="24"/>
    <x v="5"/>
    <x v="0"/>
    <s v="2021-11-10"/>
    <x v="14"/>
    <x v="32"/>
    <n v="6026"/>
    <n v="77"/>
    <x v="2"/>
    <x v="0"/>
    <x v="3"/>
  </r>
  <r>
    <x v="33"/>
    <x v="9"/>
    <x v="1"/>
    <n v="42"/>
    <x v="3"/>
    <x v="3"/>
    <s v="2019-03-01"/>
    <x v="5"/>
    <x v="33"/>
    <n v="12076"/>
    <n v="97"/>
    <x v="1"/>
    <x v="0"/>
    <x v="2"/>
  </r>
  <r>
    <x v="34"/>
    <x v="31"/>
    <x v="1"/>
    <n v="35"/>
    <x v="0"/>
    <x v="2"/>
    <s v="2025-11-30"/>
    <x v="3"/>
    <x v="34"/>
    <n v="14249"/>
    <n v="94"/>
    <x v="2"/>
    <x v="0"/>
    <x v="3"/>
  </r>
  <r>
    <x v="35"/>
    <x v="32"/>
    <x v="0"/>
    <n v="27"/>
    <x v="5"/>
    <x v="5"/>
    <s v="2023-08-23"/>
    <x v="9"/>
    <x v="35"/>
    <n v="22300"/>
    <n v="98"/>
    <x v="3"/>
    <x v="0"/>
    <x v="1"/>
  </r>
  <r>
    <x v="36"/>
    <x v="33"/>
    <x v="1"/>
    <n v="50"/>
    <x v="2"/>
    <x v="5"/>
    <s v="2023-12-30"/>
    <x v="13"/>
    <x v="36"/>
    <n v="12411"/>
    <n v="86"/>
    <x v="3"/>
    <x v="0"/>
    <x v="3"/>
  </r>
  <r>
    <x v="37"/>
    <x v="34"/>
    <x v="1"/>
    <n v="34"/>
    <x v="2"/>
    <x v="6"/>
    <s v="2018-03-19"/>
    <x v="5"/>
    <x v="37"/>
    <n v="5762"/>
    <n v="88"/>
    <x v="3"/>
    <x v="0"/>
    <x v="2"/>
  </r>
  <r>
    <x v="38"/>
    <x v="18"/>
    <x v="0"/>
    <n v="23"/>
    <x v="1"/>
    <x v="3"/>
    <s v="2023-10-14"/>
    <x v="3"/>
    <x v="38"/>
    <n v="10634"/>
    <n v="99"/>
    <x v="3"/>
    <x v="0"/>
    <x v="3"/>
  </r>
  <r>
    <x v="39"/>
    <x v="35"/>
    <x v="0"/>
    <n v="40"/>
    <x v="5"/>
    <x v="3"/>
    <s v="2026-02-19"/>
    <x v="13"/>
    <x v="39"/>
    <n v="3382"/>
    <n v="100"/>
    <x v="0"/>
    <x v="1"/>
    <x v="0"/>
  </r>
  <r>
    <x v="40"/>
    <x v="36"/>
    <x v="1"/>
    <n v="47"/>
    <x v="3"/>
    <x v="4"/>
    <s v="2018-08-18"/>
    <x v="2"/>
    <x v="40"/>
    <n v="8076"/>
    <n v="100"/>
    <x v="3"/>
    <x v="0"/>
    <x v="0"/>
  </r>
  <r>
    <x v="41"/>
    <x v="37"/>
    <x v="1"/>
    <n v="24"/>
    <x v="4"/>
    <x v="4"/>
    <s v="2025-06-04"/>
    <x v="6"/>
    <x v="41"/>
    <n v="18544"/>
    <n v="95"/>
    <x v="3"/>
    <x v="0"/>
    <x v="4"/>
  </r>
  <r>
    <x v="42"/>
    <x v="38"/>
    <x v="1"/>
    <n v="45"/>
    <x v="4"/>
    <x v="6"/>
    <s v="2024-07-03"/>
    <x v="4"/>
    <x v="42"/>
    <n v="5098"/>
    <n v="100"/>
    <x v="3"/>
    <x v="0"/>
    <x v="4"/>
  </r>
  <r>
    <x v="43"/>
    <x v="39"/>
    <x v="1"/>
    <n v="22"/>
    <x v="4"/>
    <x v="6"/>
    <s v="2018-10-05"/>
    <x v="3"/>
    <x v="43"/>
    <n v="2284"/>
    <n v="82"/>
    <x v="1"/>
    <x v="0"/>
    <x v="0"/>
  </r>
  <r>
    <x v="44"/>
    <x v="40"/>
    <x v="0"/>
    <n v="37"/>
    <x v="1"/>
    <x v="3"/>
    <s v="2019-08-19"/>
    <x v="1"/>
    <x v="44"/>
    <n v="5461"/>
    <n v="92"/>
    <x v="3"/>
    <x v="0"/>
    <x v="1"/>
  </r>
  <r>
    <x v="45"/>
    <x v="41"/>
    <x v="0"/>
    <n v="49"/>
    <x v="0"/>
    <x v="2"/>
    <s v="2020-10-30"/>
    <x v="15"/>
    <x v="45"/>
    <n v="20773"/>
    <n v="75"/>
    <x v="3"/>
    <x v="0"/>
    <x v="4"/>
  </r>
  <r>
    <x v="46"/>
    <x v="42"/>
    <x v="0"/>
    <n v="48"/>
    <x v="0"/>
    <x v="2"/>
    <s v="2021-05-18"/>
    <x v="6"/>
    <x v="46"/>
    <n v="15555"/>
    <n v="75"/>
    <x v="1"/>
    <x v="0"/>
    <x v="0"/>
  </r>
  <r>
    <x v="47"/>
    <x v="43"/>
    <x v="1"/>
    <n v="23"/>
    <x v="4"/>
    <x v="1"/>
    <s v="2018-07-13"/>
    <x v="12"/>
    <x v="47"/>
    <n v="7566"/>
    <n v="80"/>
    <x v="1"/>
    <x v="0"/>
    <x v="0"/>
  </r>
  <r>
    <x v="48"/>
    <x v="44"/>
    <x v="0"/>
    <n v="37"/>
    <x v="3"/>
    <x v="1"/>
    <s v="2021-08-12"/>
    <x v="4"/>
    <x v="48"/>
    <n v="2788"/>
    <n v="87"/>
    <x v="1"/>
    <x v="0"/>
    <x v="2"/>
  </r>
  <r>
    <x v="49"/>
    <x v="24"/>
    <x v="0"/>
    <n v="32"/>
    <x v="3"/>
    <x v="0"/>
    <s v="2018-09-02"/>
    <x v="7"/>
    <x v="49"/>
    <n v="11956"/>
    <n v="93"/>
    <x v="3"/>
    <x v="0"/>
    <x v="3"/>
  </r>
  <r>
    <x v="50"/>
    <x v="45"/>
    <x v="0"/>
    <n v="24"/>
    <x v="2"/>
    <x v="1"/>
    <s v="2021-05-21"/>
    <x v="14"/>
    <x v="50"/>
    <n v="7568"/>
    <n v="93"/>
    <x v="0"/>
    <x v="1"/>
    <x v="0"/>
  </r>
  <r>
    <x v="51"/>
    <x v="46"/>
    <x v="0"/>
    <n v="25"/>
    <x v="0"/>
    <x v="2"/>
    <s v="2023-10-22"/>
    <x v="4"/>
    <x v="51"/>
    <n v="8599"/>
    <n v="78"/>
    <x v="2"/>
    <x v="0"/>
    <x v="1"/>
  </r>
  <r>
    <x v="52"/>
    <x v="47"/>
    <x v="1"/>
    <n v="31"/>
    <x v="3"/>
    <x v="0"/>
    <s v="2020-04-02"/>
    <x v="1"/>
    <x v="52"/>
    <n v="5038"/>
    <n v="94"/>
    <x v="1"/>
    <x v="0"/>
    <x v="1"/>
  </r>
  <r>
    <x v="53"/>
    <x v="6"/>
    <x v="1"/>
    <n v="43"/>
    <x v="5"/>
    <x v="2"/>
    <s v="2020-11-24"/>
    <x v="3"/>
    <x v="53"/>
    <n v="19001"/>
    <n v="82"/>
    <x v="2"/>
    <x v="0"/>
    <x v="2"/>
  </r>
  <r>
    <x v="54"/>
    <x v="48"/>
    <x v="0"/>
    <n v="24"/>
    <x v="2"/>
    <x v="1"/>
    <s v="2021-03-04"/>
    <x v="0"/>
    <x v="54"/>
    <n v="8100"/>
    <n v="75"/>
    <x v="3"/>
    <x v="0"/>
    <x v="2"/>
  </r>
  <r>
    <x v="55"/>
    <x v="49"/>
    <x v="0"/>
    <n v="42"/>
    <x v="2"/>
    <x v="3"/>
    <s v="2020-09-16"/>
    <x v="1"/>
    <x v="55"/>
    <n v="6999"/>
    <n v="91"/>
    <x v="3"/>
    <x v="0"/>
    <x v="2"/>
  </r>
  <r>
    <x v="56"/>
    <x v="4"/>
    <x v="0"/>
    <n v="37"/>
    <x v="1"/>
    <x v="6"/>
    <s v="2026-03-06"/>
    <x v="13"/>
    <x v="56"/>
    <n v="7578"/>
    <n v="90"/>
    <x v="0"/>
    <x v="1"/>
    <x v="2"/>
  </r>
  <r>
    <x v="57"/>
    <x v="50"/>
    <x v="0"/>
    <n v="33"/>
    <x v="3"/>
    <x v="0"/>
    <s v="2023-12-05"/>
    <x v="13"/>
    <x v="57"/>
    <n v="8229"/>
    <n v="94"/>
    <x v="0"/>
    <x v="1"/>
    <x v="1"/>
  </r>
  <r>
    <x v="58"/>
    <x v="51"/>
    <x v="1"/>
    <n v="38"/>
    <x v="3"/>
    <x v="2"/>
    <s v="2018-09-19"/>
    <x v="12"/>
    <x v="58"/>
    <n v="7284"/>
    <n v="77"/>
    <x v="1"/>
    <x v="0"/>
    <x v="2"/>
  </r>
  <r>
    <x v="59"/>
    <x v="52"/>
    <x v="0"/>
    <n v="44"/>
    <x v="1"/>
    <x v="6"/>
    <s v="2019-02-02"/>
    <x v="6"/>
    <x v="59"/>
    <n v="5783"/>
    <n v="93"/>
    <x v="2"/>
    <x v="0"/>
    <x v="1"/>
  </r>
  <r>
    <x v="60"/>
    <x v="53"/>
    <x v="1"/>
    <n v="24"/>
    <x v="0"/>
    <x v="5"/>
    <s v="2022-05-11"/>
    <x v="2"/>
    <x v="60"/>
    <n v="6342"/>
    <n v="78"/>
    <x v="0"/>
    <x v="0"/>
    <x v="3"/>
  </r>
  <r>
    <x v="61"/>
    <x v="54"/>
    <x v="0"/>
    <n v="38"/>
    <x v="3"/>
    <x v="6"/>
    <s v="2022-07-30"/>
    <x v="1"/>
    <x v="32"/>
    <n v="6343"/>
    <n v="81"/>
    <x v="3"/>
    <x v="0"/>
    <x v="1"/>
  </r>
  <r>
    <x v="62"/>
    <x v="52"/>
    <x v="0"/>
    <n v="25"/>
    <x v="1"/>
    <x v="4"/>
    <s v="2025-06-09"/>
    <x v="3"/>
    <x v="61"/>
    <n v="15838"/>
    <n v="97"/>
    <x v="0"/>
    <x v="1"/>
    <x v="1"/>
  </r>
  <r>
    <x v="63"/>
    <x v="38"/>
    <x v="0"/>
    <n v="34"/>
    <x v="4"/>
    <x v="0"/>
    <s v="2021-02-24"/>
    <x v="7"/>
    <x v="62"/>
    <n v="7106"/>
    <n v="78"/>
    <x v="0"/>
    <x v="0"/>
    <x v="1"/>
  </r>
  <r>
    <x v="64"/>
    <x v="55"/>
    <x v="1"/>
    <n v="47"/>
    <x v="1"/>
    <x v="4"/>
    <s v="2026-01-12"/>
    <x v="9"/>
    <x v="63"/>
    <n v="2048"/>
    <n v="87"/>
    <x v="1"/>
    <x v="0"/>
    <x v="0"/>
  </r>
  <r>
    <x v="65"/>
    <x v="56"/>
    <x v="1"/>
    <n v="44"/>
    <x v="2"/>
    <x v="1"/>
    <s v="2021-11-16"/>
    <x v="9"/>
    <x v="64"/>
    <n v="21501"/>
    <n v="96"/>
    <x v="1"/>
    <x v="0"/>
    <x v="3"/>
  </r>
  <r>
    <x v="66"/>
    <x v="57"/>
    <x v="0"/>
    <n v="44"/>
    <x v="2"/>
    <x v="6"/>
    <s v="2023-04-13"/>
    <x v="12"/>
    <x v="65"/>
    <n v="7359"/>
    <n v="82"/>
    <x v="2"/>
    <x v="0"/>
    <x v="3"/>
  </r>
  <r>
    <x v="67"/>
    <x v="9"/>
    <x v="1"/>
    <n v="42"/>
    <x v="3"/>
    <x v="3"/>
    <s v="2021-10-27"/>
    <x v="1"/>
    <x v="66"/>
    <n v="15994"/>
    <n v="85"/>
    <x v="1"/>
    <x v="0"/>
    <x v="4"/>
  </r>
  <r>
    <x v="68"/>
    <x v="58"/>
    <x v="1"/>
    <n v="37"/>
    <x v="5"/>
    <x v="2"/>
    <s v="2022-10-23"/>
    <x v="13"/>
    <x v="67"/>
    <n v="5286"/>
    <n v="89"/>
    <x v="2"/>
    <x v="0"/>
    <x v="2"/>
  </r>
  <r>
    <x v="69"/>
    <x v="35"/>
    <x v="1"/>
    <n v="37"/>
    <x v="0"/>
    <x v="2"/>
    <s v="2024-05-02"/>
    <x v="10"/>
    <x v="68"/>
    <n v="6429"/>
    <n v="98"/>
    <x v="3"/>
    <x v="0"/>
    <x v="2"/>
  </r>
  <r>
    <x v="70"/>
    <x v="59"/>
    <x v="1"/>
    <n v="26"/>
    <x v="3"/>
    <x v="5"/>
    <s v="2022-11-18"/>
    <x v="9"/>
    <x v="69"/>
    <n v="9770"/>
    <n v="85"/>
    <x v="0"/>
    <x v="0"/>
    <x v="3"/>
  </r>
  <r>
    <x v="71"/>
    <x v="22"/>
    <x v="1"/>
    <n v="30"/>
    <x v="3"/>
    <x v="2"/>
    <s v="2025-03-19"/>
    <x v="10"/>
    <x v="70"/>
    <n v="4156"/>
    <n v="95"/>
    <x v="0"/>
    <x v="1"/>
    <x v="0"/>
  </r>
  <r>
    <x v="72"/>
    <x v="60"/>
    <x v="1"/>
    <n v="46"/>
    <x v="2"/>
    <x v="3"/>
    <s v="2024-02-06"/>
    <x v="10"/>
    <x v="71"/>
    <n v="4999"/>
    <n v="84"/>
    <x v="1"/>
    <x v="0"/>
    <x v="2"/>
  </r>
  <r>
    <x v="73"/>
    <x v="61"/>
    <x v="0"/>
    <n v="22"/>
    <x v="3"/>
    <x v="5"/>
    <s v="2023-09-21"/>
    <x v="11"/>
    <x v="72"/>
    <n v="12864"/>
    <n v="87"/>
    <x v="2"/>
    <x v="0"/>
    <x v="2"/>
  </r>
  <r>
    <x v="74"/>
    <x v="62"/>
    <x v="1"/>
    <n v="33"/>
    <x v="3"/>
    <x v="6"/>
    <s v="2022-01-09"/>
    <x v="2"/>
    <x v="73"/>
    <n v="6141"/>
    <n v="91"/>
    <x v="3"/>
    <x v="0"/>
    <x v="2"/>
  </r>
  <r>
    <x v="75"/>
    <x v="63"/>
    <x v="1"/>
    <n v="29"/>
    <x v="3"/>
    <x v="0"/>
    <s v="2023-05-26"/>
    <x v="12"/>
    <x v="74"/>
    <n v="11022"/>
    <n v="92"/>
    <x v="0"/>
    <x v="0"/>
    <x v="1"/>
  </r>
  <r>
    <x v="76"/>
    <x v="64"/>
    <x v="0"/>
    <n v="38"/>
    <x v="2"/>
    <x v="6"/>
    <s v="2025-12-25"/>
    <x v="5"/>
    <x v="75"/>
    <n v="10851"/>
    <n v="95"/>
    <x v="2"/>
    <x v="0"/>
    <x v="4"/>
  </r>
  <r>
    <x v="77"/>
    <x v="65"/>
    <x v="0"/>
    <n v="47"/>
    <x v="5"/>
    <x v="6"/>
    <s v="2019-05-15"/>
    <x v="4"/>
    <x v="76"/>
    <n v="3954"/>
    <n v="97"/>
    <x v="2"/>
    <x v="0"/>
    <x v="1"/>
  </r>
  <r>
    <x v="78"/>
    <x v="66"/>
    <x v="0"/>
    <n v="29"/>
    <x v="2"/>
    <x v="0"/>
    <s v="2021-10-12"/>
    <x v="14"/>
    <x v="77"/>
    <n v="8542"/>
    <n v="93"/>
    <x v="3"/>
    <x v="0"/>
    <x v="2"/>
  </r>
  <r>
    <x v="79"/>
    <x v="67"/>
    <x v="1"/>
    <n v="49"/>
    <x v="2"/>
    <x v="4"/>
    <s v="2025-04-10"/>
    <x v="3"/>
    <x v="78"/>
    <n v="12461"/>
    <n v="85"/>
    <x v="2"/>
    <x v="0"/>
    <x v="2"/>
  </r>
  <r>
    <x v="80"/>
    <x v="68"/>
    <x v="0"/>
    <n v="42"/>
    <x v="1"/>
    <x v="2"/>
    <s v="2021-12-15"/>
    <x v="11"/>
    <x v="79"/>
    <n v="4652"/>
    <n v="94"/>
    <x v="1"/>
    <x v="0"/>
    <x v="2"/>
  </r>
  <r>
    <x v="81"/>
    <x v="29"/>
    <x v="0"/>
    <n v="34"/>
    <x v="4"/>
    <x v="4"/>
    <s v="2019-01-09"/>
    <x v="3"/>
    <x v="80"/>
    <n v="3237"/>
    <n v="85"/>
    <x v="0"/>
    <x v="0"/>
    <x v="1"/>
  </r>
  <r>
    <x v="82"/>
    <x v="3"/>
    <x v="1"/>
    <n v="43"/>
    <x v="2"/>
    <x v="5"/>
    <s v="2024-05-24"/>
    <x v="12"/>
    <x v="81"/>
    <n v="8050"/>
    <n v="82"/>
    <x v="0"/>
    <x v="0"/>
    <x v="4"/>
  </r>
  <r>
    <x v="83"/>
    <x v="62"/>
    <x v="0"/>
    <n v="48"/>
    <x v="0"/>
    <x v="5"/>
    <s v="2025-07-10"/>
    <x v="13"/>
    <x v="82"/>
    <n v="3398"/>
    <n v="81"/>
    <x v="1"/>
    <x v="0"/>
    <x v="0"/>
  </r>
  <r>
    <x v="84"/>
    <x v="39"/>
    <x v="0"/>
    <n v="30"/>
    <x v="3"/>
    <x v="4"/>
    <s v="2019-06-22"/>
    <x v="7"/>
    <x v="83"/>
    <n v="18066"/>
    <n v="83"/>
    <x v="0"/>
    <x v="0"/>
    <x v="0"/>
  </r>
  <r>
    <x v="85"/>
    <x v="0"/>
    <x v="1"/>
    <n v="32"/>
    <x v="4"/>
    <x v="6"/>
    <s v="2021-12-28"/>
    <x v="14"/>
    <x v="84"/>
    <n v="11400"/>
    <n v="77"/>
    <x v="0"/>
    <x v="0"/>
    <x v="1"/>
  </r>
  <r>
    <x v="86"/>
    <x v="20"/>
    <x v="0"/>
    <n v="39"/>
    <x v="0"/>
    <x v="5"/>
    <s v="2018-03-29"/>
    <x v="0"/>
    <x v="85"/>
    <n v="4070"/>
    <n v="98"/>
    <x v="3"/>
    <x v="0"/>
    <x v="3"/>
  </r>
  <r>
    <x v="87"/>
    <x v="69"/>
    <x v="1"/>
    <n v="33"/>
    <x v="5"/>
    <x v="6"/>
    <s v="2019-11-19"/>
    <x v="6"/>
    <x v="86"/>
    <n v="6298"/>
    <n v="86"/>
    <x v="2"/>
    <x v="0"/>
    <x v="3"/>
  </r>
  <r>
    <x v="88"/>
    <x v="70"/>
    <x v="0"/>
    <n v="30"/>
    <x v="0"/>
    <x v="6"/>
    <s v="2021-09-07"/>
    <x v="1"/>
    <x v="87"/>
    <n v="10056"/>
    <n v="99"/>
    <x v="1"/>
    <x v="0"/>
    <x v="3"/>
  </r>
  <r>
    <x v="89"/>
    <x v="71"/>
    <x v="1"/>
    <n v="49"/>
    <x v="3"/>
    <x v="1"/>
    <s v="2025-08-21"/>
    <x v="11"/>
    <x v="88"/>
    <n v="9261"/>
    <n v="89"/>
    <x v="1"/>
    <x v="0"/>
    <x v="2"/>
  </r>
  <r>
    <x v="90"/>
    <x v="72"/>
    <x v="0"/>
    <n v="47"/>
    <x v="2"/>
    <x v="6"/>
    <s v="2018-08-31"/>
    <x v="13"/>
    <x v="89"/>
    <n v="2390"/>
    <n v="93"/>
    <x v="0"/>
    <x v="1"/>
    <x v="0"/>
  </r>
  <r>
    <x v="91"/>
    <x v="73"/>
    <x v="1"/>
    <n v="49"/>
    <x v="1"/>
    <x v="5"/>
    <s v="2024-01-19"/>
    <x v="4"/>
    <x v="90"/>
    <n v="5222"/>
    <n v="99"/>
    <x v="1"/>
    <x v="0"/>
    <x v="0"/>
  </r>
  <r>
    <x v="92"/>
    <x v="39"/>
    <x v="0"/>
    <n v="47"/>
    <x v="3"/>
    <x v="2"/>
    <s v="2023-09-20"/>
    <x v="8"/>
    <x v="91"/>
    <n v="2789"/>
    <n v="90"/>
    <x v="3"/>
    <x v="0"/>
    <x v="3"/>
  </r>
  <r>
    <x v="93"/>
    <x v="74"/>
    <x v="0"/>
    <n v="33"/>
    <x v="0"/>
    <x v="3"/>
    <s v="2020-07-28"/>
    <x v="8"/>
    <x v="92"/>
    <n v="11946"/>
    <n v="75"/>
    <x v="0"/>
    <x v="0"/>
    <x v="4"/>
  </r>
  <r>
    <x v="94"/>
    <x v="75"/>
    <x v="1"/>
    <n v="36"/>
    <x v="0"/>
    <x v="5"/>
    <s v="2023-11-12"/>
    <x v="15"/>
    <x v="93"/>
    <n v="7238"/>
    <n v="98"/>
    <x v="1"/>
    <x v="0"/>
    <x v="0"/>
  </r>
  <r>
    <x v="95"/>
    <x v="44"/>
    <x v="0"/>
    <n v="42"/>
    <x v="4"/>
    <x v="3"/>
    <s v="2018-07-16"/>
    <x v="14"/>
    <x v="94"/>
    <n v="9096"/>
    <n v="94"/>
    <x v="0"/>
    <x v="1"/>
    <x v="0"/>
  </r>
  <r>
    <x v="96"/>
    <x v="76"/>
    <x v="0"/>
    <n v="46"/>
    <x v="2"/>
    <x v="0"/>
    <s v="2022-10-26"/>
    <x v="11"/>
    <x v="95"/>
    <n v="9101"/>
    <n v="85"/>
    <x v="1"/>
    <x v="0"/>
    <x v="2"/>
  </r>
  <r>
    <x v="97"/>
    <x v="77"/>
    <x v="0"/>
    <n v="41"/>
    <x v="1"/>
    <x v="0"/>
    <s v="2025-02-02"/>
    <x v="4"/>
    <x v="96"/>
    <n v="18217"/>
    <n v="94"/>
    <x v="0"/>
    <x v="1"/>
    <x v="1"/>
  </r>
  <r>
    <x v="98"/>
    <x v="28"/>
    <x v="1"/>
    <n v="42"/>
    <x v="5"/>
    <x v="1"/>
    <s v="2023-03-25"/>
    <x v="13"/>
    <x v="97"/>
    <n v="8462"/>
    <n v="97"/>
    <x v="3"/>
    <x v="0"/>
    <x v="3"/>
  </r>
  <r>
    <x v="99"/>
    <x v="10"/>
    <x v="0"/>
    <n v="45"/>
    <x v="5"/>
    <x v="1"/>
    <s v="2021-07-31"/>
    <x v="3"/>
    <x v="98"/>
    <n v="2303"/>
    <n v="75"/>
    <x v="2"/>
    <x v="0"/>
    <x v="0"/>
  </r>
  <r>
    <x v="100"/>
    <x v="69"/>
    <x v="1"/>
    <n v="32"/>
    <x v="5"/>
    <x v="2"/>
    <s v="2025-09-06"/>
    <x v="3"/>
    <x v="99"/>
    <n v="6179"/>
    <n v="96"/>
    <x v="1"/>
    <x v="0"/>
    <x v="2"/>
  </r>
  <r>
    <x v="101"/>
    <x v="63"/>
    <x v="0"/>
    <n v="48"/>
    <x v="2"/>
    <x v="1"/>
    <s v="2023-07-08"/>
    <x v="12"/>
    <x v="100"/>
    <n v="5964"/>
    <n v="82"/>
    <x v="0"/>
    <x v="0"/>
    <x v="2"/>
  </r>
  <r>
    <x v="102"/>
    <x v="78"/>
    <x v="0"/>
    <n v="50"/>
    <x v="2"/>
    <x v="6"/>
    <s v="2023-07-10"/>
    <x v="10"/>
    <x v="101"/>
    <n v="14537"/>
    <n v="77"/>
    <x v="1"/>
    <x v="0"/>
    <x v="3"/>
  </r>
  <r>
    <x v="103"/>
    <x v="79"/>
    <x v="0"/>
    <n v="31"/>
    <x v="0"/>
    <x v="0"/>
    <s v="2024-01-01"/>
    <x v="11"/>
    <x v="102"/>
    <n v="10670"/>
    <n v="84"/>
    <x v="1"/>
    <x v="0"/>
    <x v="1"/>
  </r>
  <r>
    <x v="104"/>
    <x v="33"/>
    <x v="1"/>
    <n v="37"/>
    <x v="1"/>
    <x v="1"/>
    <s v="2024-04-18"/>
    <x v="0"/>
    <x v="103"/>
    <n v="14405"/>
    <n v="96"/>
    <x v="1"/>
    <x v="0"/>
    <x v="3"/>
  </r>
  <r>
    <x v="105"/>
    <x v="80"/>
    <x v="0"/>
    <n v="23"/>
    <x v="2"/>
    <x v="4"/>
    <s v="2022-11-10"/>
    <x v="3"/>
    <x v="104"/>
    <n v="4690"/>
    <n v="91"/>
    <x v="3"/>
    <x v="0"/>
    <x v="2"/>
  </r>
  <r>
    <x v="106"/>
    <x v="81"/>
    <x v="1"/>
    <n v="50"/>
    <x v="0"/>
    <x v="0"/>
    <s v="2025-06-14"/>
    <x v="1"/>
    <x v="105"/>
    <n v="13882"/>
    <n v="80"/>
    <x v="0"/>
    <x v="0"/>
    <x v="3"/>
  </r>
  <r>
    <x v="107"/>
    <x v="81"/>
    <x v="1"/>
    <n v="33"/>
    <x v="2"/>
    <x v="4"/>
    <s v="2019-11-07"/>
    <x v="3"/>
    <x v="106"/>
    <n v="6718"/>
    <n v="98"/>
    <x v="3"/>
    <x v="0"/>
    <x v="0"/>
  </r>
  <r>
    <x v="108"/>
    <x v="82"/>
    <x v="1"/>
    <n v="49"/>
    <x v="0"/>
    <x v="6"/>
    <s v="2025-12-16"/>
    <x v="8"/>
    <x v="107"/>
    <n v="9047"/>
    <n v="78"/>
    <x v="3"/>
    <x v="0"/>
    <x v="0"/>
  </r>
  <r>
    <x v="109"/>
    <x v="83"/>
    <x v="0"/>
    <n v="28"/>
    <x v="4"/>
    <x v="4"/>
    <s v="2021-01-14"/>
    <x v="12"/>
    <x v="108"/>
    <n v="5092"/>
    <n v="100"/>
    <x v="3"/>
    <x v="0"/>
    <x v="1"/>
  </r>
  <r>
    <x v="110"/>
    <x v="84"/>
    <x v="0"/>
    <n v="50"/>
    <x v="3"/>
    <x v="3"/>
    <s v="2021-12-19"/>
    <x v="0"/>
    <x v="109"/>
    <n v="3909"/>
    <n v="80"/>
    <x v="3"/>
    <x v="0"/>
    <x v="4"/>
  </r>
  <r>
    <x v="111"/>
    <x v="77"/>
    <x v="0"/>
    <n v="43"/>
    <x v="5"/>
    <x v="1"/>
    <s v="2022-12-23"/>
    <x v="2"/>
    <x v="110"/>
    <n v="6286"/>
    <n v="89"/>
    <x v="0"/>
    <x v="0"/>
    <x v="4"/>
  </r>
  <r>
    <x v="112"/>
    <x v="85"/>
    <x v="0"/>
    <n v="38"/>
    <x v="2"/>
    <x v="3"/>
    <s v="2021-06-06"/>
    <x v="6"/>
    <x v="111"/>
    <n v="15625"/>
    <n v="95"/>
    <x v="3"/>
    <x v="0"/>
    <x v="0"/>
  </r>
  <r>
    <x v="113"/>
    <x v="86"/>
    <x v="0"/>
    <n v="34"/>
    <x v="4"/>
    <x v="3"/>
    <s v="2018-11-26"/>
    <x v="4"/>
    <x v="112"/>
    <n v="7673"/>
    <n v="89"/>
    <x v="3"/>
    <x v="0"/>
    <x v="0"/>
  </r>
  <r>
    <x v="114"/>
    <x v="9"/>
    <x v="0"/>
    <n v="41"/>
    <x v="1"/>
    <x v="5"/>
    <s v="2023-06-12"/>
    <x v="11"/>
    <x v="113"/>
    <n v="16187"/>
    <n v="96"/>
    <x v="3"/>
    <x v="0"/>
    <x v="2"/>
  </r>
  <r>
    <x v="115"/>
    <x v="87"/>
    <x v="1"/>
    <n v="41"/>
    <x v="0"/>
    <x v="2"/>
    <s v="2023-03-12"/>
    <x v="12"/>
    <x v="114"/>
    <n v="5422"/>
    <n v="89"/>
    <x v="0"/>
    <x v="0"/>
    <x v="4"/>
  </r>
  <r>
    <x v="116"/>
    <x v="21"/>
    <x v="1"/>
    <n v="49"/>
    <x v="0"/>
    <x v="4"/>
    <s v="2023-11-02"/>
    <x v="4"/>
    <x v="115"/>
    <n v="5153"/>
    <n v="81"/>
    <x v="3"/>
    <x v="0"/>
    <x v="3"/>
  </r>
  <r>
    <x v="117"/>
    <x v="67"/>
    <x v="1"/>
    <n v="30"/>
    <x v="5"/>
    <x v="3"/>
    <s v="2018-03-07"/>
    <x v="0"/>
    <x v="116"/>
    <n v="2002"/>
    <n v="92"/>
    <x v="1"/>
    <x v="0"/>
    <x v="2"/>
  </r>
  <r>
    <x v="118"/>
    <x v="18"/>
    <x v="1"/>
    <n v="50"/>
    <x v="0"/>
    <x v="3"/>
    <s v="2020-11-16"/>
    <x v="11"/>
    <x v="117"/>
    <n v="5445"/>
    <n v="87"/>
    <x v="3"/>
    <x v="0"/>
    <x v="2"/>
  </r>
  <r>
    <x v="119"/>
    <x v="88"/>
    <x v="0"/>
    <n v="36"/>
    <x v="3"/>
    <x v="6"/>
    <s v="2025-11-23"/>
    <x v="12"/>
    <x v="118"/>
    <n v="3163"/>
    <n v="91"/>
    <x v="2"/>
    <x v="0"/>
    <x v="3"/>
  </r>
  <r>
    <x v="120"/>
    <x v="41"/>
    <x v="1"/>
    <n v="47"/>
    <x v="0"/>
    <x v="6"/>
    <s v="2024-03-01"/>
    <x v="12"/>
    <x v="119"/>
    <n v="8973"/>
    <n v="77"/>
    <x v="0"/>
    <x v="0"/>
    <x v="1"/>
  </r>
  <r>
    <x v="121"/>
    <x v="57"/>
    <x v="1"/>
    <n v="45"/>
    <x v="2"/>
    <x v="0"/>
    <s v="2018-02-14"/>
    <x v="1"/>
    <x v="120"/>
    <n v="5912"/>
    <n v="83"/>
    <x v="3"/>
    <x v="0"/>
    <x v="0"/>
  </r>
  <r>
    <x v="122"/>
    <x v="86"/>
    <x v="0"/>
    <n v="22"/>
    <x v="1"/>
    <x v="1"/>
    <s v="2021-03-19"/>
    <x v="0"/>
    <x v="121"/>
    <n v="14022"/>
    <n v="75"/>
    <x v="1"/>
    <x v="0"/>
    <x v="4"/>
  </r>
  <r>
    <x v="123"/>
    <x v="25"/>
    <x v="1"/>
    <n v="33"/>
    <x v="2"/>
    <x v="0"/>
    <s v="2018-09-25"/>
    <x v="14"/>
    <x v="122"/>
    <n v="3836"/>
    <n v="95"/>
    <x v="0"/>
    <x v="1"/>
    <x v="3"/>
  </r>
  <r>
    <x v="124"/>
    <x v="16"/>
    <x v="0"/>
    <n v="27"/>
    <x v="0"/>
    <x v="3"/>
    <s v="2025-05-02"/>
    <x v="0"/>
    <x v="123"/>
    <n v="15073"/>
    <n v="98"/>
    <x v="3"/>
    <x v="0"/>
    <x v="2"/>
  </r>
  <r>
    <x v="125"/>
    <x v="89"/>
    <x v="0"/>
    <n v="44"/>
    <x v="4"/>
    <x v="2"/>
    <s v="2024-04-03"/>
    <x v="4"/>
    <x v="124"/>
    <n v="11311"/>
    <n v="90"/>
    <x v="2"/>
    <x v="0"/>
    <x v="1"/>
  </r>
  <r>
    <x v="126"/>
    <x v="53"/>
    <x v="0"/>
    <n v="44"/>
    <x v="5"/>
    <x v="2"/>
    <s v="2022-02-23"/>
    <x v="10"/>
    <x v="125"/>
    <n v="13031"/>
    <n v="87"/>
    <x v="1"/>
    <x v="0"/>
    <x v="2"/>
  </r>
  <r>
    <x v="127"/>
    <x v="90"/>
    <x v="1"/>
    <n v="30"/>
    <x v="4"/>
    <x v="5"/>
    <s v="2022-10-02"/>
    <x v="3"/>
    <x v="126"/>
    <n v="12319"/>
    <n v="82"/>
    <x v="0"/>
    <x v="0"/>
    <x v="3"/>
  </r>
  <r>
    <x v="128"/>
    <x v="91"/>
    <x v="1"/>
    <n v="32"/>
    <x v="3"/>
    <x v="5"/>
    <s v="2026-02-26"/>
    <x v="11"/>
    <x v="127"/>
    <n v="7652"/>
    <n v="80"/>
    <x v="2"/>
    <x v="0"/>
    <x v="3"/>
  </r>
  <r>
    <x v="129"/>
    <x v="34"/>
    <x v="0"/>
    <n v="31"/>
    <x v="5"/>
    <x v="3"/>
    <s v="2021-04-08"/>
    <x v="12"/>
    <x v="128"/>
    <n v="16178"/>
    <n v="97"/>
    <x v="1"/>
    <x v="0"/>
    <x v="2"/>
  </r>
  <r>
    <x v="130"/>
    <x v="81"/>
    <x v="1"/>
    <n v="23"/>
    <x v="4"/>
    <x v="4"/>
    <s v="2020-10-17"/>
    <x v="7"/>
    <x v="129"/>
    <n v="5276"/>
    <n v="88"/>
    <x v="3"/>
    <x v="0"/>
    <x v="1"/>
  </r>
  <r>
    <x v="131"/>
    <x v="92"/>
    <x v="0"/>
    <n v="40"/>
    <x v="4"/>
    <x v="1"/>
    <s v="2025-07-22"/>
    <x v="8"/>
    <x v="130"/>
    <n v="2240"/>
    <n v="92"/>
    <x v="1"/>
    <x v="0"/>
    <x v="0"/>
  </r>
  <r>
    <x v="132"/>
    <x v="93"/>
    <x v="1"/>
    <n v="45"/>
    <x v="2"/>
    <x v="5"/>
    <s v="2021-03-18"/>
    <x v="15"/>
    <x v="131"/>
    <n v="5182"/>
    <n v="79"/>
    <x v="3"/>
    <x v="0"/>
    <x v="3"/>
  </r>
  <r>
    <x v="133"/>
    <x v="15"/>
    <x v="1"/>
    <n v="29"/>
    <x v="4"/>
    <x v="4"/>
    <s v="2023-12-13"/>
    <x v="7"/>
    <x v="132"/>
    <n v="2268"/>
    <n v="90"/>
    <x v="2"/>
    <x v="0"/>
    <x v="2"/>
  </r>
  <r>
    <x v="134"/>
    <x v="62"/>
    <x v="1"/>
    <n v="47"/>
    <x v="1"/>
    <x v="4"/>
    <s v="2025-04-23"/>
    <x v="9"/>
    <x v="133"/>
    <n v="5084"/>
    <n v="88"/>
    <x v="2"/>
    <x v="0"/>
    <x v="3"/>
  </r>
  <r>
    <x v="135"/>
    <x v="94"/>
    <x v="0"/>
    <n v="43"/>
    <x v="2"/>
    <x v="2"/>
    <s v="2022-01-28"/>
    <x v="11"/>
    <x v="134"/>
    <n v="9975"/>
    <n v="87"/>
    <x v="2"/>
    <x v="0"/>
    <x v="1"/>
  </r>
  <r>
    <x v="136"/>
    <x v="75"/>
    <x v="0"/>
    <n v="46"/>
    <x v="0"/>
    <x v="4"/>
    <s v="2024-03-23"/>
    <x v="5"/>
    <x v="135"/>
    <n v="16864"/>
    <n v="92"/>
    <x v="1"/>
    <x v="0"/>
    <x v="0"/>
  </r>
  <r>
    <x v="137"/>
    <x v="45"/>
    <x v="1"/>
    <n v="46"/>
    <x v="2"/>
    <x v="6"/>
    <s v="2022-03-19"/>
    <x v="1"/>
    <x v="136"/>
    <n v="14797"/>
    <n v="92"/>
    <x v="1"/>
    <x v="0"/>
    <x v="0"/>
  </r>
  <r>
    <x v="138"/>
    <x v="41"/>
    <x v="1"/>
    <n v="34"/>
    <x v="2"/>
    <x v="6"/>
    <s v="2022-01-06"/>
    <x v="9"/>
    <x v="137"/>
    <n v="5705"/>
    <n v="100"/>
    <x v="2"/>
    <x v="0"/>
    <x v="0"/>
  </r>
  <r>
    <x v="139"/>
    <x v="95"/>
    <x v="0"/>
    <n v="50"/>
    <x v="3"/>
    <x v="5"/>
    <s v="2023-08-24"/>
    <x v="11"/>
    <x v="138"/>
    <n v="11579"/>
    <n v="88"/>
    <x v="1"/>
    <x v="0"/>
    <x v="4"/>
  </r>
  <r>
    <x v="140"/>
    <x v="96"/>
    <x v="1"/>
    <n v="41"/>
    <x v="5"/>
    <x v="0"/>
    <s v="2020-12-23"/>
    <x v="3"/>
    <x v="139"/>
    <n v="9740"/>
    <n v="93"/>
    <x v="1"/>
    <x v="0"/>
    <x v="4"/>
  </r>
  <r>
    <x v="141"/>
    <x v="65"/>
    <x v="0"/>
    <n v="43"/>
    <x v="0"/>
    <x v="3"/>
    <s v="2022-02-07"/>
    <x v="15"/>
    <x v="140"/>
    <n v="12666"/>
    <n v="94"/>
    <x v="1"/>
    <x v="0"/>
    <x v="3"/>
  </r>
  <r>
    <x v="142"/>
    <x v="13"/>
    <x v="0"/>
    <n v="34"/>
    <x v="3"/>
    <x v="3"/>
    <s v="2024-09-10"/>
    <x v="8"/>
    <x v="141"/>
    <n v="6634"/>
    <n v="96"/>
    <x v="2"/>
    <x v="0"/>
    <x v="1"/>
  </r>
  <r>
    <x v="143"/>
    <x v="22"/>
    <x v="1"/>
    <n v="38"/>
    <x v="3"/>
    <x v="4"/>
    <s v="2021-09-30"/>
    <x v="4"/>
    <x v="142"/>
    <n v="12767"/>
    <n v="100"/>
    <x v="3"/>
    <x v="0"/>
    <x v="3"/>
  </r>
  <r>
    <x v="144"/>
    <x v="10"/>
    <x v="1"/>
    <n v="46"/>
    <x v="5"/>
    <x v="5"/>
    <s v="2019-09-19"/>
    <x v="0"/>
    <x v="143"/>
    <n v="2397"/>
    <n v="86"/>
    <x v="3"/>
    <x v="0"/>
    <x v="4"/>
  </r>
  <r>
    <x v="145"/>
    <x v="53"/>
    <x v="0"/>
    <n v="40"/>
    <x v="3"/>
    <x v="3"/>
    <s v="2025-03-05"/>
    <x v="12"/>
    <x v="144"/>
    <n v="5986"/>
    <n v="77"/>
    <x v="1"/>
    <x v="0"/>
    <x v="3"/>
  </r>
  <r>
    <x v="146"/>
    <x v="97"/>
    <x v="0"/>
    <n v="28"/>
    <x v="4"/>
    <x v="5"/>
    <s v="2021-03-19"/>
    <x v="5"/>
    <x v="145"/>
    <n v="10173"/>
    <n v="85"/>
    <x v="3"/>
    <x v="0"/>
    <x v="2"/>
  </r>
  <r>
    <x v="147"/>
    <x v="93"/>
    <x v="1"/>
    <n v="25"/>
    <x v="1"/>
    <x v="2"/>
    <s v="2018-04-16"/>
    <x v="0"/>
    <x v="146"/>
    <n v="18299"/>
    <n v="75"/>
    <x v="0"/>
    <x v="0"/>
    <x v="0"/>
  </r>
  <r>
    <x v="148"/>
    <x v="98"/>
    <x v="0"/>
    <n v="40"/>
    <x v="2"/>
    <x v="2"/>
    <s v="2026-01-16"/>
    <x v="1"/>
    <x v="147"/>
    <n v="6683"/>
    <n v="90"/>
    <x v="3"/>
    <x v="0"/>
    <x v="2"/>
  </r>
  <r>
    <x v="149"/>
    <x v="99"/>
    <x v="1"/>
    <n v="37"/>
    <x v="3"/>
    <x v="0"/>
    <s v="2023-04-23"/>
    <x v="8"/>
    <x v="148"/>
    <n v="3749"/>
    <n v="78"/>
    <x v="3"/>
    <x v="0"/>
    <x v="1"/>
  </r>
  <r>
    <x v="150"/>
    <x v="100"/>
    <x v="1"/>
    <n v="38"/>
    <x v="1"/>
    <x v="5"/>
    <s v="2025-08-26"/>
    <x v="8"/>
    <x v="149"/>
    <n v="5155"/>
    <n v="88"/>
    <x v="0"/>
    <x v="0"/>
    <x v="2"/>
  </r>
  <r>
    <x v="151"/>
    <x v="44"/>
    <x v="1"/>
    <n v="38"/>
    <x v="3"/>
    <x v="4"/>
    <s v="2024-02-14"/>
    <x v="8"/>
    <x v="150"/>
    <n v="6436"/>
    <n v="92"/>
    <x v="0"/>
    <x v="0"/>
    <x v="3"/>
  </r>
  <r>
    <x v="152"/>
    <x v="48"/>
    <x v="0"/>
    <n v="45"/>
    <x v="3"/>
    <x v="1"/>
    <s v="2018-02-25"/>
    <x v="5"/>
    <x v="151"/>
    <n v="19922"/>
    <n v="86"/>
    <x v="0"/>
    <x v="0"/>
    <x v="4"/>
  </r>
  <r>
    <x v="153"/>
    <x v="78"/>
    <x v="1"/>
    <n v="48"/>
    <x v="5"/>
    <x v="6"/>
    <s v="2024-05-10"/>
    <x v="1"/>
    <x v="152"/>
    <n v="4954"/>
    <n v="95"/>
    <x v="0"/>
    <x v="1"/>
    <x v="4"/>
  </r>
  <r>
    <x v="154"/>
    <x v="79"/>
    <x v="0"/>
    <n v="50"/>
    <x v="4"/>
    <x v="2"/>
    <s v="2023-03-23"/>
    <x v="4"/>
    <x v="153"/>
    <n v="5367"/>
    <n v="92"/>
    <x v="2"/>
    <x v="0"/>
    <x v="3"/>
  </r>
  <r>
    <x v="155"/>
    <x v="45"/>
    <x v="1"/>
    <n v="37"/>
    <x v="2"/>
    <x v="4"/>
    <s v="2019-03-22"/>
    <x v="10"/>
    <x v="154"/>
    <n v="8144"/>
    <n v="86"/>
    <x v="1"/>
    <x v="0"/>
    <x v="4"/>
  </r>
  <r>
    <x v="156"/>
    <x v="28"/>
    <x v="0"/>
    <n v="29"/>
    <x v="2"/>
    <x v="2"/>
    <s v="2018-08-31"/>
    <x v="6"/>
    <x v="155"/>
    <n v="6150"/>
    <n v="88"/>
    <x v="0"/>
    <x v="0"/>
    <x v="0"/>
  </r>
  <r>
    <x v="157"/>
    <x v="0"/>
    <x v="0"/>
    <n v="38"/>
    <x v="1"/>
    <x v="3"/>
    <s v="2024-06-14"/>
    <x v="2"/>
    <x v="156"/>
    <n v="7399"/>
    <n v="89"/>
    <x v="0"/>
    <x v="0"/>
    <x v="0"/>
  </r>
  <r>
    <x v="158"/>
    <x v="81"/>
    <x v="0"/>
    <n v="37"/>
    <x v="5"/>
    <x v="0"/>
    <s v="2023-06-05"/>
    <x v="1"/>
    <x v="157"/>
    <n v="5113"/>
    <n v="100"/>
    <x v="3"/>
    <x v="0"/>
    <x v="2"/>
  </r>
  <r>
    <x v="159"/>
    <x v="70"/>
    <x v="0"/>
    <n v="23"/>
    <x v="1"/>
    <x v="0"/>
    <s v="2018-08-20"/>
    <x v="15"/>
    <x v="158"/>
    <n v="5781"/>
    <n v="94"/>
    <x v="3"/>
    <x v="0"/>
    <x v="2"/>
  </r>
  <r>
    <x v="160"/>
    <x v="52"/>
    <x v="1"/>
    <n v="31"/>
    <x v="1"/>
    <x v="6"/>
    <s v="2025-10-30"/>
    <x v="7"/>
    <x v="159"/>
    <n v="7210"/>
    <n v="75"/>
    <x v="1"/>
    <x v="0"/>
    <x v="3"/>
  </r>
  <r>
    <x v="161"/>
    <x v="81"/>
    <x v="1"/>
    <n v="40"/>
    <x v="4"/>
    <x v="6"/>
    <s v="2021-04-13"/>
    <x v="7"/>
    <x v="160"/>
    <n v="3357"/>
    <n v="83"/>
    <x v="2"/>
    <x v="0"/>
    <x v="1"/>
  </r>
  <r>
    <x v="162"/>
    <x v="60"/>
    <x v="1"/>
    <n v="49"/>
    <x v="4"/>
    <x v="4"/>
    <s v="2018-08-31"/>
    <x v="4"/>
    <x v="161"/>
    <n v="10428"/>
    <n v="97"/>
    <x v="1"/>
    <x v="0"/>
    <x v="0"/>
  </r>
  <r>
    <x v="163"/>
    <x v="101"/>
    <x v="0"/>
    <n v="40"/>
    <x v="0"/>
    <x v="0"/>
    <s v="2022-05-30"/>
    <x v="7"/>
    <x v="162"/>
    <n v="7808"/>
    <n v="78"/>
    <x v="1"/>
    <x v="0"/>
    <x v="3"/>
  </r>
  <r>
    <x v="164"/>
    <x v="26"/>
    <x v="1"/>
    <n v="37"/>
    <x v="5"/>
    <x v="5"/>
    <s v="2020-01-04"/>
    <x v="10"/>
    <x v="163"/>
    <n v="4894"/>
    <n v="90"/>
    <x v="1"/>
    <x v="0"/>
    <x v="0"/>
  </r>
  <r>
    <x v="165"/>
    <x v="14"/>
    <x v="0"/>
    <n v="44"/>
    <x v="1"/>
    <x v="4"/>
    <s v="2023-09-03"/>
    <x v="1"/>
    <x v="164"/>
    <n v="1705"/>
    <n v="97"/>
    <x v="3"/>
    <x v="0"/>
    <x v="3"/>
  </r>
  <r>
    <x v="166"/>
    <x v="72"/>
    <x v="0"/>
    <n v="36"/>
    <x v="5"/>
    <x v="3"/>
    <s v="2021-02-02"/>
    <x v="8"/>
    <x v="165"/>
    <n v="5720"/>
    <n v="83"/>
    <x v="1"/>
    <x v="0"/>
    <x v="3"/>
  </r>
  <r>
    <x v="167"/>
    <x v="102"/>
    <x v="0"/>
    <n v="26"/>
    <x v="4"/>
    <x v="4"/>
    <s v="2021-07-31"/>
    <x v="11"/>
    <x v="166"/>
    <n v="6211"/>
    <n v="95"/>
    <x v="2"/>
    <x v="0"/>
    <x v="3"/>
  </r>
  <r>
    <x v="168"/>
    <x v="103"/>
    <x v="0"/>
    <n v="29"/>
    <x v="0"/>
    <x v="6"/>
    <s v="2022-07-30"/>
    <x v="1"/>
    <x v="167"/>
    <n v="20609"/>
    <n v="77"/>
    <x v="2"/>
    <x v="0"/>
    <x v="3"/>
  </r>
  <r>
    <x v="169"/>
    <x v="23"/>
    <x v="1"/>
    <n v="30"/>
    <x v="3"/>
    <x v="2"/>
    <s v="2021-06-02"/>
    <x v="13"/>
    <x v="168"/>
    <n v="1423"/>
    <n v="99"/>
    <x v="3"/>
    <x v="0"/>
    <x v="2"/>
  </r>
  <r>
    <x v="170"/>
    <x v="40"/>
    <x v="1"/>
    <n v="26"/>
    <x v="0"/>
    <x v="4"/>
    <s v="2019-08-25"/>
    <x v="13"/>
    <x v="169"/>
    <n v="1769"/>
    <n v="94"/>
    <x v="2"/>
    <x v="0"/>
    <x v="2"/>
  </r>
  <r>
    <x v="171"/>
    <x v="104"/>
    <x v="1"/>
    <n v="43"/>
    <x v="5"/>
    <x v="4"/>
    <s v="2025-03-12"/>
    <x v="15"/>
    <x v="170"/>
    <n v="20107"/>
    <n v="89"/>
    <x v="0"/>
    <x v="0"/>
    <x v="3"/>
  </r>
  <r>
    <x v="172"/>
    <x v="99"/>
    <x v="1"/>
    <n v="28"/>
    <x v="5"/>
    <x v="0"/>
    <s v="2021-04-25"/>
    <x v="0"/>
    <x v="171"/>
    <n v="7326"/>
    <n v="75"/>
    <x v="1"/>
    <x v="0"/>
    <x v="0"/>
  </r>
  <r>
    <x v="173"/>
    <x v="105"/>
    <x v="0"/>
    <n v="23"/>
    <x v="3"/>
    <x v="3"/>
    <s v="2025-06-23"/>
    <x v="8"/>
    <x v="172"/>
    <n v="12214"/>
    <n v="89"/>
    <x v="0"/>
    <x v="0"/>
    <x v="1"/>
  </r>
  <r>
    <x v="174"/>
    <x v="81"/>
    <x v="0"/>
    <n v="42"/>
    <x v="0"/>
    <x v="0"/>
    <s v="2020-05-07"/>
    <x v="12"/>
    <x v="173"/>
    <n v="9978"/>
    <n v="83"/>
    <x v="1"/>
    <x v="0"/>
    <x v="4"/>
  </r>
  <r>
    <x v="175"/>
    <x v="106"/>
    <x v="0"/>
    <n v="29"/>
    <x v="2"/>
    <x v="3"/>
    <s v="2018-10-29"/>
    <x v="15"/>
    <x v="174"/>
    <n v="5348"/>
    <n v="99"/>
    <x v="3"/>
    <x v="0"/>
    <x v="4"/>
  </r>
  <r>
    <x v="176"/>
    <x v="35"/>
    <x v="0"/>
    <n v="50"/>
    <x v="4"/>
    <x v="4"/>
    <s v="2018-12-11"/>
    <x v="14"/>
    <x v="175"/>
    <n v="12732"/>
    <n v="82"/>
    <x v="3"/>
    <x v="0"/>
    <x v="4"/>
  </r>
  <r>
    <x v="177"/>
    <x v="46"/>
    <x v="0"/>
    <n v="45"/>
    <x v="4"/>
    <x v="4"/>
    <s v="2022-06-05"/>
    <x v="10"/>
    <x v="176"/>
    <n v="6882"/>
    <n v="89"/>
    <x v="1"/>
    <x v="0"/>
    <x v="4"/>
  </r>
  <r>
    <x v="178"/>
    <x v="21"/>
    <x v="1"/>
    <n v="30"/>
    <x v="1"/>
    <x v="1"/>
    <s v="2020-02-09"/>
    <x v="1"/>
    <x v="177"/>
    <n v="7746"/>
    <n v="89"/>
    <x v="1"/>
    <x v="0"/>
    <x v="1"/>
  </r>
  <r>
    <x v="179"/>
    <x v="107"/>
    <x v="0"/>
    <n v="48"/>
    <x v="4"/>
    <x v="3"/>
    <s v="2019-08-08"/>
    <x v="11"/>
    <x v="178"/>
    <n v="5506"/>
    <n v="81"/>
    <x v="3"/>
    <x v="0"/>
    <x v="1"/>
  </r>
  <r>
    <x v="180"/>
    <x v="84"/>
    <x v="1"/>
    <n v="44"/>
    <x v="0"/>
    <x v="3"/>
    <s v="2020-04-23"/>
    <x v="15"/>
    <x v="179"/>
    <n v="20512"/>
    <n v="94"/>
    <x v="3"/>
    <x v="0"/>
    <x v="2"/>
  </r>
  <r>
    <x v="181"/>
    <x v="36"/>
    <x v="1"/>
    <n v="24"/>
    <x v="5"/>
    <x v="0"/>
    <s v="2021-05-29"/>
    <x v="0"/>
    <x v="180"/>
    <n v="4334"/>
    <n v="92"/>
    <x v="2"/>
    <x v="0"/>
    <x v="4"/>
  </r>
  <r>
    <x v="182"/>
    <x v="76"/>
    <x v="1"/>
    <n v="29"/>
    <x v="0"/>
    <x v="2"/>
    <s v="2022-06-01"/>
    <x v="14"/>
    <x v="181"/>
    <n v="9904"/>
    <n v="87"/>
    <x v="2"/>
    <x v="0"/>
    <x v="0"/>
  </r>
  <r>
    <x v="183"/>
    <x v="95"/>
    <x v="0"/>
    <n v="32"/>
    <x v="2"/>
    <x v="4"/>
    <s v="2020-02-22"/>
    <x v="0"/>
    <x v="182"/>
    <n v="6646"/>
    <n v="99"/>
    <x v="1"/>
    <x v="0"/>
    <x v="0"/>
  </r>
  <r>
    <x v="184"/>
    <x v="104"/>
    <x v="0"/>
    <n v="49"/>
    <x v="1"/>
    <x v="6"/>
    <s v="2023-08-29"/>
    <x v="14"/>
    <x v="183"/>
    <n v="3834"/>
    <n v="92"/>
    <x v="1"/>
    <x v="0"/>
    <x v="1"/>
  </r>
  <r>
    <x v="185"/>
    <x v="22"/>
    <x v="0"/>
    <n v="40"/>
    <x v="1"/>
    <x v="3"/>
    <s v="2022-06-11"/>
    <x v="3"/>
    <x v="184"/>
    <n v="16028"/>
    <n v="93"/>
    <x v="2"/>
    <x v="0"/>
    <x v="4"/>
  </r>
  <r>
    <x v="186"/>
    <x v="63"/>
    <x v="1"/>
    <n v="45"/>
    <x v="3"/>
    <x v="5"/>
    <s v="2022-01-15"/>
    <x v="7"/>
    <x v="185"/>
    <n v="12791"/>
    <n v="82"/>
    <x v="0"/>
    <x v="0"/>
    <x v="2"/>
  </r>
  <r>
    <x v="187"/>
    <x v="54"/>
    <x v="0"/>
    <n v="42"/>
    <x v="2"/>
    <x v="2"/>
    <s v="2024-02-17"/>
    <x v="7"/>
    <x v="186"/>
    <n v="9466"/>
    <n v="77"/>
    <x v="0"/>
    <x v="0"/>
    <x v="3"/>
  </r>
  <r>
    <x v="188"/>
    <x v="65"/>
    <x v="0"/>
    <n v="24"/>
    <x v="5"/>
    <x v="4"/>
    <s v="2022-07-22"/>
    <x v="10"/>
    <x v="187"/>
    <n v="4148"/>
    <n v="86"/>
    <x v="2"/>
    <x v="0"/>
    <x v="4"/>
  </r>
  <r>
    <x v="189"/>
    <x v="108"/>
    <x v="1"/>
    <n v="47"/>
    <x v="3"/>
    <x v="4"/>
    <s v="2019-11-22"/>
    <x v="6"/>
    <x v="188"/>
    <n v="23115"/>
    <n v="76"/>
    <x v="3"/>
    <x v="0"/>
    <x v="3"/>
  </r>
  <r>
    <x v="190"/>
    <x v="40"/>
    <x v="1"/>
    <n v="38"/>
    <x v="4"/>
    <x v="6"/>
    <s v="2022-11-24"/>
    <x v="6"/>
    <x v="189"/>
    <n v="9025"/>
    <n v="96"/>
    <x v="3"/>
    <x v="0"/>
    <x v="3"/>
  </r>
  <r>
    <x v="191"/>
    <x v="46"/>
    <x v="1"/>
    <n v="40"/>
    <x v="1"/>
    <x v="2"/>
    <s v="2025-07-15"/>
    <x v="6"/>
    <x v="190"/>
    <n v="6429"/>
    <n v="86"/>
    <x v="0"/>
    <x v="0"/>
    <x v="0"/>
  </r>
  <r>
    <x v="192"/>
    <x v="102"/>
    <x v="0"/>
    <n v="37"/>
    <x v="2"/>
    <x v="5"/>
    <s v="2019-01-06"/>
    <x v="0"/>
    <x v="191"/>
    <n v="16977"/>
    <n v="91"/>
    <x v="0"/>
    <x v="1"/>
    <x v="1"/>
  </r>
  <r>
    <x v="193"/>
    <x v="109"/>
    <x v="0"/>
    <n v="35"/>
    <x v="4"/>
    <x v="5"/>
    <s v="2020-07-03"/>
    <x v="0"/>
    <x v="192"/>
    <n v="6962"/>
    <n v="82"/>
    <x v="3"/>
    <x v="0"/>
    <x v="3"/>
  </r>
  <r>
    <x v="194"/>
    <x v="110"/>
    <x v="1"/>
    <n v="48"/>
    <x v="4"/>
    <x v="1"/>
    <s v="2023-03-02"/>
    <x v="3"/>
    <x v="193"/>
    <n v="15306"/>
    <n v="83"/>
    <x v="2"/>
    <x v="0"/>
    <x v="0"/>
  </r>
  <r>
    <x v="195"/>
    <x v="111"/>
    <x v="1"/>
    <n v="34"/>
    <x v="5"/>
    <x v="0"/>
    <s v="2019-04-07"/>
    <x v="14"/>
    <x v="194"/>
    <n v="14164"/>
    <n v="75"/>
    <x v="0"/>
    <x v="0"/>
    <x v="3"/>
  </r>
  <r>
    <x v="196"/>
    <x v="12"/>
    <x v="1"/>
    <n v="27"/>
    <x v="2"/>
    <x v="4"/>
    <s v="2018-02-05"/>
    <x v="8"/>
    <x v="195"/>
    <n v="12760"/>
    <n v="86"/>
    <x v="2"/>
    <x v="0"/>
    <x v="1"/>
  </r>
  <r>
    <x v="197"/>
    <x v="101"/>
    <x v="0"/>
    <n v="25"/>
    <x v="1"/>
    <x v="2"/>
    <s v="2020-11-22"/>
    <x v="2"/>
    <x v="196"/>
    <n v="6431"/>
    <n v="87"/>
    <x v="1"/>
    <x v="0"/>
    <x v="2"/>
  </r>
  <r>
    <x v="198"/>
    <x v="58"/>
    <x v="0"/>
    <n v="41"/>
    <x v="1"/>
    <x v="5"/>
    <s v="2022-03-28"/>
    <x v="8"/>
    <x v="197"/>
    <n v="13501"/>
    <n v="87"/>
    <x v="3"/>
    <x v="0"/>
    <x v="0"/>
  </r>
  <r>
    <x v="199"/>
    <x v="112"/>
    <x v="1"/>
    <n v="38"/>
    <x v="5"/>
    <x v="3"/>
    <s v="2021-08-14"/>
    <x v="9"/>
    <x v="198"/>
    <n v="18859"/>
    <n v="84"/>
    <x v="0"/>
    <x v="0"/>
    <x v="2"/>
  </r>
  <r>
    <x v="200"/>
    <x v="113"/>
    <x v="0"/>
    <n v="32"/>
    <x v="5"/>
    <x v="1"/>
    <s v="2022-05-09"/>
    <x v="2"/>
    <x v="199"/>
    <n v="11635"/>
    <n v="84"/>
    <x v="2"/>
    <x v="0"/>
    <x v="1"/>
  </r>
  <r>
    <x v="201"/>
    <x v="5"/>
    <x v="0"/>
    <n v="45"/>
    <x v="3"/>
    <x v="1"/>
    <s v="2023-03-14"/>
    <x v="5"/>
    <x v="200"/>
    <n v="3619"/>
    <n v="99"/>
    <x v="2"/>
    <x v="0"/>
    <x v="2"/>
  </r>
  <r>
    <x v="202"/>
    <x v="26"/>
    <x v="0"/>
    <n v="35"/>
    <x v="5"/>
    <x v="3"/>
    <s v="2022-08-20"/>
    <x v="6"/>
    <x v="201"/>
    <n v="12437"/>
    <n v="86"/>
    <x v="2"/>
    <x v="0"/>
    <x v="3"/>
  </r>
  <r>
    <x v="203"/>
    <x v="114"/>
    <x v="1"/>
    <n v="41"/>
    <x v="1"/>
    <x v="4"/>
    <s v="2018-09-02"/>
    <x v="1"/>
    <x v="202"/>
    <n v="8042"/>
    <n v="80"/>
    <x v="1"/>
    <x v="0"/>
    <x v="2"/>
  </r>
  <r>
    <x v="204"/>
    <x v="115"/>
    <x v="1"/>
    <n v="29"/>
    <x v="2"/>
    <x v="0"/>
    <s v="2026-02-03"/>
    <x v="7"/>
    <x v="203"/>
    <n v="12791"/>
    <n v="75"/>
    <x v="0"/>
    <x v="0"/>
    <x v="0"/>
  </r>
  <r>
    <x v="205"/>
    <x v="116"/>
    <x v="0"/>
    <n v="26"/>
    <x v="0"/>
    <x v="3"/>
    <s v="2021-05-31"/>
    <x v="11"/>
    <x v="204"/>
    <n v="18308"/>
    <n v="83"/>
    <x v="1"/>
    <x v="0"/>
    <x v="3"/>
  </r>
  <r>
    <x v="206"/>
    <x v="117"/>
    <x v="0"/>
    <n v="46"/>
    <x v="3"/>
    <x v="0"/>
    <s v="2020-01-19"/>
    <x v="5"/>
    <x v="205"/>
    <n v="20655"/>
    <n v="92"/>
    <x v="2"/>
    <x v="0"/>
    <x v="1"/>
  </r>
  <r>
    <x v="207"/>
    <x v="40"/>
    <x v="0"/>
    <n v="47"/>
    <x v="3"/>
    <x v="5"/>
    <s v="2018-11-09"/>
    <x v="11"/>
    <x v="206"/>
    <n v="7891"/>
    <n v="75"/>
    <x v="2"/>
    <x v="0"/>
    <x v="1"/>
  </r>
  <r>
    <x v="208"/>
    <x v="96"/>
    <x v="0"/>
    <n v="34"/>
    <x v="2"/>
    <x v="5"/>
    <s v="2024-06-30"/>
    <x v="2"/>
    <x v="207"/>
    <n v="6210"/>
    <n v="87"/>
    <x v="0"/>
    <x v="0"/>
    <x v="1"/>
  </r>
  <r>
    <x v="209"/>
    <x v="30"/>
    <x v="0"/>
    <n v="47"/>
    <x v="4"/>
    <x v="0"/>
    <s v="2020-10-10"/>
    <x v="10"/>
    <x v="208"/>
    <n v="7507"/>
    <n v="89"/>
    <x v="1"/>
    <x v="0"/>
    <x v="3"/>
  </r>
  <r>
    <x v="210"/>
    <x v="61"/>
    <x v="1"/>
    <n v="29"/>
    <x v="4"/>
    <x v="3"/>
    <s v="2021-12-06"/>
    <x v="2"/>
    <x v="209"/>
    <n v="11153"/>
    <n v="77"/>
    <x v="1"/>
    <x v="0"/>
    <x v="2"/>
  </r>
  <r>
    <x v="211"/>
    <x v="118"/>
    <x v="0"/>
    <n v="48"/>
    <x v="2"/>
    <x v="6"/>
    <s v="2021-07-19"/>
    <x v="3"/>
    <x v="210"/>
    <n v="3595"/>
    <n v="91"/>
    <x v="1"/>
    <x v="0"/>
    <x v="3"/>
  </r>
  <r>
    <x v="212"/>
    <x v="58"/>
    <x v="0"/>
    <n v="39"/>
    <x v="2"/>
    <x v="5"/>
    <s v="2018-04-13"/>
    <x v="5"/>
    <x v="211"/>
    <n v="13785"/>
    <n v="91"/>
    <x v="1"/>
    <x v="0"/>
    <x v="1"/>
  </r>
  <r>
    <x v="213"/>
    <x v="39"/>
    <x v="1"/>
    <n v="36"/>
    <x v="3"/>
    <x v="1"/>
    <s v="2019-03-23"/>
    <x v="3"/>
    <x v="212"/>
    <n v="2777"/>
    <n v="89"/>
    <x v="1"/>
    <x v="0"/>
    <x v="4"/>
  </r>
  <r>
    <x v="214"/>
    <x v="29"/>
    <x v="1"/>
    <n v="26"/>
    <x v="4"/>
    <x v="0"/>
    <s v="2021-07-25"/>
    <x v="1"/>
    <x v="213"/>
    <n v="5907"/>
    <n v="82"/>
    <x v="0"/>
    <x v="0"/>
    <x v="1"/>
  </r>
  <r>
    <x v="215"/>
    <x v="111"/>
    <x v="1"/>
    <n v="35"/>
    <x v="2"/>
    <x v="3"/>
    <s v="2020-05-30"/>
    <x v="2"/>
    <x v="214"/>
    <n v="3018"/>
    <n v="86"/>
    <x v="2"/>
    <x v="0"/>
    <x v="0"/>
  </r>
  <r>
    <x v="216"/>
    <x v="109"/>
    <x v="1"/>
    <n v="42"/>
    <x v="3"/>
    <x v="4"/>
    <s v="2024-07-19"/>
    <x v="0"/>
    <x v="215"/>
    <n v="10923"/>
    <n v="87"/>
    <x v="0"/>
    <x v="0"/>
    <x v="3"/>
  </r>
  <r>
    <x v="217"/>
    <x v="82"/>
    <x v="0"/>
    <n v="29"/>
    <x v="1"/>
    <x v="0"/>
    <s v="2023-12-29"/>
    <x v="6"/>
    <x v="216"/>
    <n v="9646"/>
    <n v="98"/>
    <x v="3"/>
    <x v="0"/>
    <x v="4"/>
  </r>
  <r>
    <x v="218"/>
    <x v="33"/>
    <x v="1"/>
    <n v="47"/>
    <x v="4"/>
    <x v="2"/>
    <s v="2022-10-06"/>
    <x v="6"/>
    <x v="217"/>
    <n v="17023"/>
    <n v="84"/>
    <x v="3"/>
    <x v="0"/>
    <x v="1"/>
  </r>
  <r>
    <x v="219"/>
    <x v="78"/>
    <x v="1"/>
    <n v="50"/>
    <x v="0"/>
    <x v="4"/>
    <s v="2019-05-25"/>
    <x v="4"/>
    <x v="218"/>
    <n v="17093"/>
    <n v="86"/>
    <x v="2"/>
    <x v="0"/>
    <x v="2"/>
  </r>
  <r>
    <x v="220"/>
    <x v="106"/>
    <x v="0"/>
    <n v="26"/>
    <x v="1"/>
    <x v="2"/>
    <s v="2020-08-31"/>
    <x v="7"/>
    <x v="219"/>
    <n v="6602"/>
    <n v="96"/>
    <x v="0"/>
    <x v="1"/>
    <x v="2"/>
  </r>
  <r>
    <x v="221"/>
    <x v="30"/>
    <x v="0"/>
    <n v="27"/>
    <x v="2"/>
    <x v="0"/>
    <s v="2023-03-30"/>
    <x v="13"/>
    <x v="220"/>
    <n v="11449"/>
    <n v="91"/>
    <x v="1"/>
    <x v="0"/>
    <x v="3"/>
  </r>
  <r>
    <x v="222"/>
    <x v="92"/>
    <x v="1"/>
    <n v="41"/>
    <x v="5"/>
    <x v="2"/>
    <s v="2022-08-21"/>
    <x v="4"/>
    <x v="221"/>
    <n v="3708"/>
    <n v="89"/>
    <x v="0"/>
    <x v="0"/>
    <x v="4"/>
  </r>
  <r>
    <x v="223"/>
    <x v="119"/>
    <x v="1"/>
    <n v="40"/>
    <x v="3"/>
    <x v="5"/>
    <s v="2021-06-11"/>
    <x v="6"/>
    <x v="222"/>
    <n v="3270"/>
    <n v="100"/>
    <x v="3"/>
    <x v="0"/>
    <x v="3"/>
  </r>
  <r>
    <x v="224"/>
    <x v="52"/>
    <x v="0"/>
    <n v="33"/>
    <x v="4"/>
    <x v="2"/>
    <s v="2022-10-01"/>
    <x v="11"/>
    <x v="223"/>
    <n v="11302"/>
    <n v="87"/>
    <x v="3"/>
    <x v="0"/>
    <x v="0"/>
  </r>
  <r>
    <x v="225"/>
    <x v="32"/>
    <x v="1"/>
    <n v="29"/>
    <x v="3"/>
    <x v="6"/>
    <s v="2018-01-25"/>
    <x v="6"/>
    <x v="224"/>
    <n v="1313"/>
    <n v="80"/>
    <x v="0"/>
    <x v="0"/>
    <x v="1"/>
  </r>
  <r>
    <x v="226"/>
    <x v="80"/>
    <x v="0"/>
    <n v="28"/>
    <x v="3"/>
    <x v="4"/>
    <s v="2026-03-05"/>
    <x v="9"/>
    <x v="225"/>
    <n v="11633"/>
    <n v="86"/>
    <x v="1"/>
    <x v="0"/>
    <x v="4"/>
  </r>
  <r>
    <x v="227"/>
    <x v="120"/>
    <x v="1"/>
    <n v="24"/>
    <x v="3"/>
    <x v="5"/>
    <s v="2022-01-16"/>
    <x v="7"/>
    <x v="226"/>
    <n v="13393"/>
    <n v="86"/>
    <x v="2"/>
    <x v="0"/>
    <x v="3"/>
  </r>
  <r>
    <x v="228"/>
    <x v="121"/>
    <x v="0"/>
    <n v="43"/>
    <x v="2"/>
    <x v="3"/>
    <s v="2024-02-10"/>
    <x v="5"/>
    <x v="227"/>
    <n v="6110"/>
    <n v="88"/>
    <x v="2"/>
    <x v="0"/>
    <x v="4"/>
  </r>
  <r>
    <x v="229"/>
    <x v="3"/>
    <x v="1"/>
    <n v="36"/>
    <x v="5"/>
    <x v="6"/>
    <s v="2020-11-03"/>
    <x v="5"/>
    <x v="228"/>
    <n v="3125"/>
    <n v="82"/>
    <x v="3"/>
    <x v="0"/>
    <x v="3"/>
  </r>
  <r>
    <x v="230"/>
    <x v="95"/>
    <x v="0"/>
    <n v="24"/>
    <x v="1"/>
    <x v="0"/>
    <s v="2019-04-18"/>
    <x v="6"/>
    <x v="229"/>
    <n v="13523"/>
    <n v="78"/>
    <x v="2"/>
    <x v="0"/>
    <x v="1"/>
  </r>
  <r>
    <x v="231"/>
    <x v="2"/>
    <x v="0"/>
    <n v="34"/>
    <x v="1"/>
    <x v="4"/>
    <s v="2025-09-13"/>
    <x v="15"/>
    <x v="230"/>
    <n v="6412"/>
    <n v="97"/>
    <x v="1"/>
    <x v="0"/>
    <x v="3"/>
  </r>
  <r>
    <x v="232"/>
    <x v="105"/>
    <x v="1"/>
    <n v="41"/>
    <x v="5"/>
    <x v="5"/>
    <s v="2021-04-01"/>
    <x v="13"/>
    <x v="231"/>
    <n v="5974"/>
    <n v="80"/>
    <x v="2"/>
    <x v="0"/>
    <x v="3"/>
  </r>
  <r>
    <x v="233"/>
    <x v="95"/>
    <x v="0"/>
    <n v="34"/>
    <x v="3"/>
    <x v="5"/>
    <s v="2020-01-14"/>
    <x v="6"/>
    <x v="232"/>
    <n v="8473"/>
    <n v="85"/>
    <x v="2"/>
    <x v="0"/>
    <x v="3"/>
  </r>
  <r>
    <x v="234"/>
    <x v="1"/>
    <x v="1"/>
    <n v="37"/>
    <x v="4"/>
    <x v="6"/>
    <s v="2025-11-30"/>
    <x v="10"/>
    <x v="233"/>
    <n v="14778"/>
    <n v="85"/>
    <x v="1"/>
    <x v="0"/>
    <x v="1"/>
  </r>
  <r>
    <x v="235"/>
    <x v="6"/>
    <x v="1"/>
    <n v="24"/>
    <x v="4"/>
    <x v="5"/>
    <s v="2020-04-02"/>
    <x v="13"/>
    <x v="234"/>
    <n v="15871"/>
    <n v="87"/>
    <x v="2"/>
    <x v="0"/>
    <x v="1"/>
  </r>
  <r>
    <x v="236"/>
    <x v="3"/>
    <x v="0"/>
    <n v="30"/>
    <x v="5"/>
    <x v="5"/>
    <s v="2022-09-23"/>
    <x v="12"/>
    <x v="235"/>
    <n v="9668"/>
    <n v="82"/>
    <x v="0"/>
    <x v="0"/>
    <x v="4"/>
  </r>
  <r>
    <x v="237"/>
    <x v="26"/>
    <x v="1"/>
    <n v="39"/>
    <x v="3"/>
    <x v="1"/>
    <s v="2023-01-30"/>
    <x v="7"/>
    <x v="236"/>
    <n v="11737"/>
    <n v="91"/>
    <x v="2"/>
    <x v="0"/>
    <x v="0"/>
  </r>
  <r>
    <x v="238"/>
    <x v="97"/>
    <x v="0"/>
    <n v="28"/>
    <x v="4"/>
    <x v="1"/>
    <s v="2020-08-24"/>
    <x v="6"/>
    <x v="237"/>
    <n v="1613"/>
    <n v="94"/>
    <x v="3"/>
    <x v="0"/>
    <x v="0"/>
  </r>
  <r>
    <x v="239"/>
    <x v="38"/>
    <x v="1"/>
    <n v="46"/>
    <x v="2"/>
    <x v="0"/>
    <s v="2022-09-22"/>
    <x v="13"/>
    <x v="238"/>
    <n v="7005"/>
    <n v="96"/>
    <x v="0"/>
    <x v="1"/>
    <x v="4"/>
  </r>
  <r>
    <x v="240"/>
    <x v="30"/>
    <x v="0"/>
    <n v="26"/>
    <x v="4"/>
    <x v="1"/>
    <s v="2021-01-02"/>
    <x v="11"/>
    <x v="239"/>
    <n v="7005"/>
    <n v="86"/>
    <x v="1"/>
    <x v="0"/>
    <x v="0"/>
  </r>
  <r>
    <x v="241"/>
    <x v="40"/>
    <x v="0"/>
    <n v="48"/>
    <x v="0"/>
    <x v="1"/>
    <s v="2019-05-12"/>
    <x v="10"/>
    <x v="240"/>
    <n v="17880"/>
    <n v="100"/>
    <x v="2"/>
    <x v="0"/>
    <x v="3"/>
  </r>
  <r>
    <x v="242"/>
    <x v="98"/>
    <x v="0"/>
    <n v="37"/>
    <x v="3"/>
    <x v="2"/>
    <s v="2022-03-29"/>
    <x v="5"/>
    <x v="241"/>
    <n v="4887"/>
    <n v="96"/>
    <x v="2"/>
    <x v="0"/>
    <x v="2"/>
  </r>
  <r>
    <x v="243"/>
    <x v="103"/>
    <x v="1"/>
    <n v="48"/>
    <x v="3"/>
    <x v="3"/>
    <s v="2020-07-12"/>
    <x v="4"/>
    <x v="242"/>
    <n v="11271"/>
    <n v="88"/>
    <x v="0"/>
    <x v="0"/>
    <x v="3"/>
  </r>
  <r>
    <x v="244"/>
    <x v="122"/>
    <x v="0"/>
    <n v="35"/>
    <x v="3"/>
    <x v="6"/>
    <s v="2022-03-06"/>
    <x v="9"/>
    <x v="243"/>
    <n v="5663"/>
    <n v="77"/>
    <x v="3"/>
    <x v="0"/>
    <x v="1"/>
  </r>
  <r>
    <x v="245"/>
    <x v="77"/>
    <x v="1"/>
    <n v="25"/>
    <x v="2"/>
    <x v="3"/>
    <s v="2023-03-03"/>
    <x v="7"/>
    <x v="244"/>
    <n v="8104"/>
    <n v="88"/>
    <x v="1"/>
    <x v="0"/>
    <x v="0"/>
  </r>
  <r>
    <x v="246"/>
    <x v="119"/>
    <x v="1"/>
    <n v="47"/>
    <x v="0"/>
    <x v="0"/>
    <s v="2021-05-29"/>
    <x v="2"/>
    <x v="245"/>
    <n v="6829"/>
    <n v="81"/>
    <x v="1"/>
    <x v="0"/>
    <x v="3"/>
  </r>
  <r>
    <x v="247"/>
    <x v="40"/>
    <x v="0"/>
    <n v="26"/>
    <x v="0"/>
    <x v="5"/>
    <s v="2023-08-08"/>
    <x v="1"/>
    <x v="246"/>
    <n v="14398"/>
    <n v="79"/>
    <x v="3"/>
    <x v="0"/>
    <x v="4"/>
  </r>
  <r>
    <x v="248"/>
    <x v="102"/>
    <x v="0"/>
    <n v="26"/>
    <x v="3"/>
    <x v="2"/>
    <s v="2022-05-01"/>
    <x v="13"/>
    <x v="247"/>
    <n v="3088"/>
    <n v="80"/>
    <x v="2"/>
    <x v="0"/>
    <x v="3"/>
  </r>
  <r>
    <x v="249"/>
    <x v="81"/>
    <x v="1"/>
    <n v="36"/>
    <x v="0"/>
    <x v="6"/>
    <s v="2024-04-07"/>
    <x v="4"/>
    <x v="248"/>
    <n v="7471"/>
    <n v="98"/>
    <x v="0"/>
    <x v="1"/>
    <x v="2"/>
  </r>
  <r>
    <x v="250"/>
    <x v="40"/>
    <x v="1"/>
    <n v="48"/>
    <x v="0"/>
    <x v="6"/>
    <s v="2020-04-28"/>
    <x v="0"/>
    <x v="249"/>
    <n v="15570"/>
    <n v="100"/>
    <x v="3"/>
    <x v="0"/>
    <x v="0"/>
  </r>
  <r>
    <x v="251"/>
    <x v="64"/>
    <x v="0"/>
    <n v="25"/>
    <x v="2"/>
    <x v="4"/>
    <s v="2021-11-17"/>
    <x v="4"/>
    <x v="250"/>
    <n v="4856"/>
    <n v="97"/>
    <x v="0"/>
    <x v="1"/>
    <x v="3"/>
  </r>
  <r>
    <x v="252"/>
    <x v="96"/>
    <x v="1"/>
    <n v="26"/>
    <x v="1"/>
    <x v="4"/>
    <s v="2022-08-26"/>
    <x v="6"/>
    <x v="251"/>
    <n v="14763"/>
    <n v="86"/>
    <x v="0"/>
    <x v="0"/>
    <x v="1"/>
  </r>
  <r>
    <x v="253"/>
    <x v="91"/>
    <x v="1"/>
    <n v="42"/>
    <x v="4"/>
    <x v="5"/>
    <s v="2022-05-30"/>
    <x v="1"/>
    <x v="252"/>
    <n v="15494"/>
    <n v="93"/>
    <x v="3"/>
    <x v="0"/>
    <x v="3"/>
  </r>
  <r>
    <x v="254"/>
    <x v="122"/>
    <x v="0"/>
    <n v="28"/>
    <x v="4"/>
    <x v="4"/>
    <s v="2019-07-24"/>
    <x v="15"/>
    <x v="253"/>
    <n v="7680"/>
    <n v="88"/>
    <x v="2"/>
    <x v="0"/>
    <x v="1"/>
  </r>
  <r>
    <x v="255"/>
    <x v="123"/>
    <x v="0"/>
    <n v="27"/>
    <x v="5"/>
    <x v="2"/>
    <s v="2019-10-25"/>
    <x v="2"/>
    <x v="254"/>
    <n v="17685"/>
    <n v="92"/>
    <x v="0"/>
    <x v="1"/>
    <x v="4"/>
  </r>
  <r>
    <x v="256"/>
    <x v="80"/>
    <x v="0"/>
    <n v="29"/>
    <x v="5"/>
    <x v="2"/>
    <s v="2020-07-24"/>
    <x v="4"/>
    <x v="255"/>
    <n v="7578"/>
    <n v="75"/>
    <x v="1"/>
    <x v="0"/>
    <x v="2"/>
  </r>
  <r>
    <x v="257"/>
    <x v="61"/>
    <x v="1"/>
    <n v="48"/>
    <x v="0"/>
    <x v="1"/>
    <s v="2019-09-24"/>
    <x v="10"/>
    <x v="256"/>
    <n v="5494"/>
    <n v="80"/>
    <x v="0"/>
    <x v="0"/>
    <x v="0"/>
  </r>
  <r>
    <x v="258"/>
    <x v="69"/>
    <x v="0"/>
    <n v="46"/>
    <x v="3"/>
    <x v="4"/>
    <s v="2019-04-27"/>
    <x v="7"/>
    <x v="257"/>
    <n v="12234"/>
    <n v="94"/>
    <x v="3"/>
    <x v="0"/>
    <x v="0"/>
  </r>
  <r>
    <x v="259"/>
    <x v="116"/>
    <x v="0"/>
    <n v="36"/>
    <x v="2"/>
    <x v="5"/>
    <s v="2022-08-04"/>
    <x v="12"/>
    <x v="258"/>
    <n v="9453"/>
    <n v="86"/>
    <x v="3"/>
    <x v="0"/>
    <x v="0"/>
  </r>
  <r>
    <x v="260"/>
    <x v="22"/>
    <x v="1"/>
    <n v="24"/>
    <x v="1"/>
    <x v="1"/>
    <s v="2022-01-07"/>
    <x v="7"/>
    <x v="259"/>
    <n v="14183"/>
    <n v="81"/>
    <x v="1"/>
    <x v="0"/>
    <x v="1"/>
  </r>
  <r>
    <x v="261"/>
    <x v="115"/>
    <x v="0"/>
    <n v="39"/>
    <x v="3"/>
    <x v="4"/>
    <s v="2025-08-07"/>
    <x v="0"/>
    <x v="260"/>
    <n v="4880"/>
    <n v="92"/>
    <x v="1"/>
    <x v="0"/>
    <x v="0"/>
  </r>
  <r>
    <x v="262"/>
    <x v="14"/>
    <x v="1"/>
    <n v="42"/>
    <x v="5"/>
    <x v="2"/>
    <s v="2023-04-08"/>
    <x v="5"/>
    <x v="261"/>
    <n v="7442"/>
    <n v="85"/>
    <x v="0"/>
    <x v="0"/>
    <x v="0"/>
  </r>
  <r>
    <x v="263"/>
    <x v="124"/>
    <x v="0"/>
    <n v="23"/>
    <x v="4"/>
    <x v="3"/>
    <s v="2021-02-03"/>
    <x v="14"/>
    <x v="262"/>
    <n v="6914"/>
    <n v="86"/>
    <x v="3"/>
    <x v="0"/>
    <x v="0"/>
  </r>
  <r>
    <x v="264"/>
    <x v="45"/>
    <x v="0"/>
    <n v="40"/>
    <x v="3"/>
    <x v="2"/>
    <s v="2025-06-27"/>
    <x v="11"/>
    <x v="263"/>
    <n v="9676"/>
    <n v="91"/>
    <x v="2"/>
    <x v="0"/>
    <x v="0"/>
  </r>
  <r>
    <x v="265"/>
    <x v="23"/>
    <x v="1"/>
    <n v="50"/>
    <x v="0"/>
    <x v="2"/>
    <s v="2018-08-06"/>
    <x v="8"/>
    <x v="264"/>
    <n v="13348"/>
    <n v="98"/>
    <x v="3"/>
    <x v="0"/>
    <x v="4"/>
  </r>
  <r>
    <x v="266"/>
    <x v="19"/>
    <x v="1"/>
    <n v="30"/>
    <x v="2"/>
    <x v="3"/>
    <s v="2025-10-15"/>
    <x v="15"/>
    <x v="265"/>
    <n v="5918"/>
    <n v="79"/>
    <x v="0"/>
    <x v="0"/>
    <x v="3"/>
  </r>
  <r>
    <x v="267"/>
    <x v="54"/>
    <x v="0"/>
    <n v="27"/>
    <x v="4"/>
    <x v="4"/>
    <s v="2021-10-31"/>
    <x v="10"/>
    <x v="266"/>
    <n v="14410"/>
    <n v="76"/>
    <x v="0"/>
    <x v="0"/>
    <x v="1"/>
  </r>
  <r>
    <x v="268"/>
    <x v="31"/>
    <x v="1"/>
    <n v="45"/>
    <x v="4"/>
    <x v="0"/>
    <s v="2020-08-30"/>
    <x v="11"/>
    <x v="267"/>
    <n v="19047"/>
    <n v="85"/>
    <x v="2"/>
    <x v="0"/>
    <x v="1"/>
  </r>
  <r>
    <x v="269"/>
    <x v="32"/>
    <x v="1"/>
    <n v="29"/>
    <x v="2"/>
    <x v="4"/>
    <s v="2024-03-14"/>
    <x v="11"/>
    <x v="268"/>
    <n v="15108"/>
    <n v="89"/>
    <x v="2"/>
    <x v="0"/>
    <x v="3"/>
  </r>
  <r>
    <x v="270"/>
    <x v="61"/>
    <x v="0"/>
    <n v="36"/>
    <x v="4"/>
    <x v="2"/>
    <s v="2021-10-18"/>
    <x v="11"/>
    <x v="269"/>
    <n v="9622"/>
    <n v="88"/>
    <x v="1"/>
    <x v="0"/>
    <x v="0"/>
  </r>
  <r>
    <x v="271"/>
    <x v="109"/>
    <x v="0"/>
    <n v="48"/>
    <x v="1"/>
    <x v="2"/>
    <s v="2026-02-19"/>
    <x v="4"/>
    <x v="270"/>
    <n v="8229"/>
    <n v="98"/>
    <x v="1"/>
    <x v="0"/>
    <x v="2"/>
  </r>
  <r>
    <x v="272"/>
    <x v="117"/>
    <x v="0"/>
    <n v="44"/>
    <x v="0"/>
    <x v="2"/>
    <s v="2024-08-14"/>
    <x v="1"/>
    <x v="271"/>
    <n v="6039"/>
    <n v="75"/>
    <x v="3"/>
    <x v="0"/>
    <x v="3"/>
  </r>
  <r>
    <x v="273"/>
    <x v="99"/>
    <x v="1"/>
    <n v="29"/>
    <x v="0"/>
    <x v="0"/>
    <s v="2019-10-18"/>
    <x v="5"/>
    <x v="272"/>
    <n v="8406"/>
    <n v="95"/>
    <x v="1"/>
    <x v="0"/>
    <x v="2"/>
  </r>
  <r>
    <x v="274"/>
    <x v="31"/>
    <x v="1"/>
    <n v="48"/>
    <x v="4"/>
    <x v="2"/>
    <s v="2025-09-03"/>
    <x v="5"/>
    <x v="273"/>
    <n v="7573"/>
    <n v="87"/>
    <x v="1"/>
    <x v="0"/>
    <x v="0"/>
  </r>
  <r>
    <x v="275"/>
    <x v="125"/>
    <x v="0"/>
    <n v="45"/>
    <x v="0"/>
    <x v="3"/>
    <s v="2023-09-05"/>
    <x v="13"/>
    <x v="274"/>
    <n v="17541"/>
    <n v="99"/>
    <x v="0"/>
    <x v="1"/>
    <x v="4"/>
  </r>
  <r>
    <x v="276"/>
    <x v="118"/>
    <x v="1"/>
    <n v="23"/>
    <x v="2"/>
    <x v="6"/>
    <s v="2021-09-07"/>
    <x v="8"/>
    <x v="275"/>
    <n v="10184"/>
    <n v="95"/>
    <x v="1"/>
    <x v="0"/>
    <x v="3"/>
  </r>
  <r>
    <x v="277"/>
    <x v="16"/>
    <x v="0"/>
    <n v="42"/>
    <x v="2"/>
    <x v="2"/>
    <s v="2024-05-03"/>
    <x v="11"/>
    <x v="276"/>
    <n v="9595"/>
    <n v="78"/>
    <x v="1"/>
    <x v="0"/>
    <x v="0"/>
  </r>
  <r>
    <x v="278"/>
    <x v="126"/>
    <x v="0"/>
    <n v="39"/>
    <x v="5"/>
    <x v="1"/>
    <s v="2021-09-26"/>
    <x v="13"/>
    <x v="277"/>
    <n v="16918"/>
    <n v="95"/>
    <x v="0"/>
    <x v="1"/>
    <x v="1"/>
  </r>
  <r>
    <x v="279"/>
    <x v="18"/>
    <x v="1"/>
    <n v="31"/>
    <x v="0"/>
    <x v="4"/>
    <s v="2023-08-24"/>
    <x v="12"/>
    <x v="278"/>
    <n v="6738"/>
    <n v="84"/>
    <x v="3"/>
    <x v="0"/>
    <x v="3"/>
  </r>
  <r>
    <x v="280"/>
    <x v="14"/>
    <x v="0"/>
    <n v="40"/>
    <x v="4"/>
    <x v="5"/>
    <s v="2025-07-10"/>
    <x v="2"/>
    <x v="279"/>
    <n v="4444"/>
    <n v="95"/>
    <x v="2"/>
    <x v="0"/>
    <x v="1"/>
  </r>
  <r>
    <x v="281"/>
    <x v="26"/>
    <x v="1"/>
    <n v="27"/>
    <x v="2"/>
    <x v="6"/>
    <s v="2018-08-04"/>
    <x v="10"/>
    <x v="280"/>
    <n v="6210"/>
    <n v="76"/>
    <x v="0"/>
    <x v="0"/>
    <x v="1"/>
  </r>
  <r>
    <x v="282"/>
    <x v="99"/>
    <x v="1"/>
    <n v="31"/>
    <x v="2"/>
    <x v="3"/>
    <s v="2023-10-19"/>
    <x v="6"/>
    <x v="281"/>
    <n v="8097"/>
    <n v="94"/>
    <x v="1"/>
    <x v="0"/>
    <x v="1"/>
  </r>
  <r>
    <x v="283"/>
    <x v="127"/>
    <x v="0"/>
    <n v="23"/>
    <x v="2"/>
    <x v="6"/>
    <s v="2024-02-23"/>
    <x v="5"/>
    <x v="282"/>
    <n v="3330"/>
    <n v="78"/>
    <x v="0"/>
    <x v="0"/>
    <x v="0"/>
  </r>
  <r>
    <x v="284"/>
    <x v="102"/>
    <x v="1"/>
    <n v="39"/>
    <x v="1"/>
    <x v="5"/>
    <s v="2021-12-30"/>
    <x v="5"/>
    <x v="283"/>
    <n v="6264"/>
    <n v="92"/>
    <x v="2"/>
    <x v="0"/>
    <x v="1"/>
  </r>
  <r>
    <x v="285"/>
    <x v="128"/>
    <x v="1"/>
    <n v="41"/>
    <x v="5"/>
    <x v="6"/>
    <s v="2020-09-21"/>
    <x v="5"/>
    <x v="284"/>
    <n v="9196"/>
    <n v="97"/>
    <x v="3"/>
    <x v="0"/>
    <x v="1"/>
  </r>
  <r>
    <x v="286"/>
    <x v="45"/>
    <x v="1"/>
    <n v="45"/>
    <x v="0"/>
    <x v="0"/>
    <s v="2025-07-06"/>
    <x v="0"/>
    <x v="285"/>
    <n v="6388"/>
    <n v="89"/>
    <x v="2"/>
    <x v="0"/>
    <x v="2"/>
  </r>
  <r>
    <x v="287"/>
    <x v="68"/>
    <x v="0"/>
    <n v="36"/>
    <x v="3"/>
    <x v="1"/>
    <s v="2018-01-08"/>
    <x v="11"/>
    <x v="286"/>
    <n v="15521"/>
    <n v="86"/>
    <x v="0"/>
    <x v="0"/>
    <x v="0"/>
  </r>
  <r>
    <x v="288"/>
    <x v="129"/>
    <x v="1"/>
    <n v="40"/>
    <x v="5"/>
    <x v="4"/>
    <s v="2022-05-26"/>
    <x v="7"/>
    <x v="287"/>
    <n v="7611"/>
    <n v="78"/>
    <x v="2"/>
    <x v="0"/>
    <x v="4"/>
  </r>
  <r>
    <x v="289"/>
    <x v="19"/>
    <x v="0"/>
    <n v="35"/>
    <x v="4"/>
    <x v="3"/>
    <s v="2025-05-27"/>
    <x v="5"/>
    <x v="288"/>
    <n v="21934"/>
    <n v="85"/>
    <x v="2"/>
    <x v="0"/>
    <x v="4"/>
  </r>
  <r>
    <x v="290"/>
    <x v="79"/>
    <x v="0"/>
    <n v="41"/>
    <x v="3"/>
    <x v="0"/>
    <s v="2024-06-15"/>
    <x v="11"/>
    <x v="289"/>
    <n v="3993"/>
    <n v="89"/>
    <x v="1"/>
    <x v="0"/>
    <x v="2"/>
  </r>
  <r>
    <x v="291"/>
    <x v="78"/>
    <x v="1"/>
    <n v="23"/>
    <x v="2"/>
    <x v="0"/>
    <s v="2024-05-25"/>
    <x v="7"/>
    <x v="290"/>
    <n v="5176"/>
    <n v="75"/>
    <x v="2"/>
    <x v="0"/>
    <x v="3"/>
  </r>
  <r>
    <x v="292"/>
    <x v="41"/>
    <x v="0"/>
    <n v="29"/>
    <x v="2"/>
    <x v="6"/>
    <s v="2024-12-24"/>
    <x v="10"/>
    <x v="291"/>
    <n v="14651"/>
    <n v="89"/>
    <x v="3"/>
    <x v="0"/>
    <x v="4"/>
  </r>
  <r>
    <x v="293"/>
    <x v="68"/>
    <x v="1"/>
    <n v="28"/>
    <x v="0"/>
    <x v="6"/>
    <s v="2018-08-17"/>
    <x v="3"/>
    <x v="292"/>
    <n v="3055"/>
    <n v="93"/>
    <x v="3"/>
    <x v="0"/>
    <x v="4"/>
  </r>
  <r>
    <x v="294"/>
    <x v="40"/>
    <x v="1"/>
    <n v="45"/>
    <x v="5"/>
    <x v="3"/>
    <s v="2021-04-01"/>
    <x v="14"/>
    <x v="293"/>
    <n v="11082"/>
    <n v="86"/>
    <x v="2"/>
    <x v="0"/>
    <x v="0"/>
  </r>
  <r>
    <x v="295"/>
    <x v="130"/>
    <x v="1"/>
    <n v="43"/>
    <x v="1"/>
    <x v="5"/>
    <s v="2023-09-17"/>
    <x v="1"/>
    <x v="294"/>
    <n v="5344"/>
    <n v="88"/>
    <x v="1"/>
    <x v="0"/>
    <x v="3"/>
  </r>
  <r>
    <x v="296"/>
    <x v="81"/>
    <x v="1"/>
    <n v="49"/>
    <x v="5"/>
    <x v="0"/>
    <s v="2020-06-16"/>
    <x v="13"/>
    <x v="295"/>
    <n v="2582"/>
    <n v="80"/>
    <x v="3"/>
    <x v="0"/>
    <x v="4"/>
  </r>
  <r>
    <x v="297"/>
    <x v="102"/>
    <x v="0"/>
    <n v="48"/>
    <x v="4"/>
    <x v="1"/>
    <s v="2021-04-26"/>
    <x v="4"/>
    <x v="296"/>
    <n v="6956"/>
    <n v="83"/>
    <x v="0"/>
    <x v="0"/>
    <x v="3"/>
  </r>
  <r>
    <x v="298"/>
    <x v="85"/>
    <x v="1"/>
    <n v="28"/>
    <x v="5"/>
    <x v="3"/>
    <s v="2026-03-17"/>
    <x v="9"/>
    <x v="297"/>
    <n v="5241"/>
    <n v="92"/>
    <x v="1"/>
    <x v="0"/>
    <x v="1"/>
  </r>
  <r>
    <x v="299"/>
    <x v="54"/>
    <x v="1"/>
    <n v="33"/>
    <x v="1"/>
    <x v="3"/>
    <s v="2022-07-03"/>
    <x v="2"/>
    <x v="298"/>
    <n v="8766"/>
    <n v="100"/>
    <x v="2"/>
    <x v="0"/>
    <x v="4"/>
  </r>
  <r>
    <x v="300"/>
    <x v="120"/>
    <x v="1"/>
    <n v="26"/>
    <x v="0"/>
    <x v="2"/>
    <s v="2019-12-01"/>
    <x v="12"/>
    <x v="299"/>
    <n v="14524"/>
    <n v="98"/>
    <x v="3"/>
    <x v="0"/>
    <x v="3"/>
  </r>
  <r>
    <x v="301"/>
    <x v="14"/>
    <x v="1"/>
    <n v="25"/>
    <x v="0"/>
    <x v="6"/>
    <s v="2020-01-23"/>
    <x v="8"/>
    <x v="300"/>
    <n v="20002"/>
    <n v="84"/>
    <x v="2"/>
    <x v="0"/>
    <x v="4"/>
  </r>
  <r>
    <x v="302"/>
    <x v="100"/>
    <x v="1"/>
    <n v="25"/>
    <x v="1"/>
    <x v="6"/>
    <s v="2020-04-11"/>
    <x v="14"/>
    <x v="301"/>
    <n v="3534"/>
    <n v="88"/>
    <x v="2"/>
    <x v="0"/>
    <x v="2"/>
  </r>
  <r>
    <x v="303"/>
    <x v="48"/>
    <x v="0"/>
    <n v="45"/>
    <x v="5"/>
    <x v="3"/>
    <s v="2022-03-21"/>
    <x v="0"/>
    <x v="302"/>
    <n v="2345"/>
    <n v="99"/>
    <x v="0"/>
    <x v="1"/>
    <x v="2"/>
  </r>
  <r>
    <x v="304"/>
    <x v="104"/>
    <x v="1"/>
    <n v="22"/>
    <x v="1"/>
    <x v="5"/>
    <s v="2023-03-13"/>
    <x v="10"/>
    <x v="303"/>
    <n v="17798"/>
    <n v="97"/>
    <x v="2"/>
    <x v="0"/>
    <x v="2"/>
  </r>
  <r>
    <x v="305"/>
    <x v="89"/>
    <x v="1"/>
    <n v="46"/>
    <x v="4"/>
    <x v="0"/>
    <s v="2026-01-23"/>
    <x v="13"/>
    <x v="304"/>
    <n v="6614"/>
    <n v="86"/>
    <x v="3"/>
    <x v="0"/>
    <x v="4"/>
  </r>
  <r>
    <x v="306"/>
    <x v="119"/>
    <x v="0"/>
    <n v="42"/>
    <x v="4"/>
    <x v="6"/>
    <s v="2023-04-15"/>
    <x v="10"/>
    <x v="305"/>
    <n v="10600"/>
    <n v="95"/>
    <x v="0"/>
    <x v="1"/>
    <x v="2"/>
  </r>
  <r>
    <x v="307"/>
    <x v="51"/>
    <x v="1"/>
    <n v="39"/>
    <x v="3"/>
    <x v="0"/>
    <s v="2024-01-08"/>
    <x v="7"/>
    <x v="306"/>
    <n v="7038"/>
    <n v="85"/>
    <x v="1"/>
    <x v="0"/>
    <x v="3"/>
  </r>
  <r>
    <x v="308"/>
    <x v="102"/>
    <x v="1"/>
    <n v="43"/>
    <x v="3"/>
    <x v="3"/>
    <s v="2019-12-20"/>
    <x v="9"/>
    <x v="307"/>
    <n v="6795"/>
    <n v="82"/>
    <x v="1"/>
    <x v="0"/>
    <x v="1"/>
  </r>
  <r>
    <x v="309"/>
    <x v="53"/>
    <x v="1"/>
    <n v="47"/>
    <x v="2"/>
    <x v="1"/>
    <s v="2023-03-09"/>
    <x v="2"/>
    <x v="308"/>
    <n v="5777"/>
    <n v="86"/>
    <x v="2"/>
    <x v="0"/>
    <x v="2"/>
  </r>
  <r>
    <x v="310"/>
    <x v="27"/>
    <x v="0"/>
    <n v="24"/>
    <x v="2"/>
    <x v="1"/>
    <s v="2020-09-11"/>
    <x v="5"/>
    <x v="309"/>
    <n v="9080"/>
    <n v="92"/>
    <x v="1"/>
    <x v="0"/>
    <x v="2"/>
  </r>
  <r>
    <x v="311"/>
    <x v="131"/>
    <x v="0"/>
    <n v="24"/>
    <x v="2"/>
    <x v="3"/>
    <s v="2019-04-14"/>
    <x v="12"/>
    <x v="310"/>
    <n v="3487"/>
    <n v="89"/>
    <x v="2"/>
    <x v="0"/>
    <x v="1"/>
  </r>
  <r>
    <x v="312"/>
    <x v="117"/>
    <x v="1"/>
    <n v="32"/>
    <x v="4"/>
    <x v="2"/>
    <s v="2021-07-16"/>
    <x v="14"/>
    <x v="311"/>
    <n v="9000"/>
    <n v="85"/>
    <x v="1"/>
    <x v="0"/>
    <x v="2"/>
  </r>
  <r>
    <x v="313"/>
    <x v="91"/>
    <x v="0"/>
    <n v="34"/>
    <x v="4"/>
    <x v="1"/>
    <s v="2020-02-29"/>
    <x v="3"/>
    <x v="312"/>
    <n v="10848"/>
    <n v="97"/>
    <x v="1"/>
    <x v="0"/>
    <x v="0"/>
  </r>
  <r>
    <x v="314"/>
    <x v="67"/>
    <x v="1"/>
    <n v="38"/>
    <x v="5"/>
    <x v="0"/>
    <s v="2021-08-01"/>
    <x v="6"/>
    <x v="313"/>
    <n v="8806"/>
    <n v="95"/>
    <x v="3"/>
    <x v="0"/>
    <x v="4"/>
  </r>
  <r>
    <x v="315"/>
    <x v="67"/>
    <x v="0"/>
    <n v="36"/>
    <x v="5"/>
    <x v="6"/>
    <s v="2026-02-09"/>
    <x v="12"/>
    <x v="314"/>
    <n v="15805"/>
    <n v="86"/>
    <x v="3"/>
    <x v="0"/>
    <x v="3"/>
  </r>
  <r>
    <x v="316"/>
    <x v="123"/>
    <x v="0"/>
    <n v="24"/>
    <x v="1"/>
    <x v="6"/>
    <s v="2019-10-03"/>
    <x v="11"/>
    <x v="315"/>
    <n v="7720"/>
    <n v="94"/>
    <x v="2"/>
    <x v="0"/>
    <x v="3"/>
  </r>
  <r>
    <x v="317"/>
    <x v="78"/>
    <x v="0"/>
    <n v="47"/>
    <x v="0"/>
    <x v="3"/>
    <s v="2019-12-18"/>
    <x v="5"/>
    <x v="316"/>
    <n v="3326"/>
    <n v="92"/>
    <x v="1"/>
    <x v="0"/>
    <x v="4"/>
  </r>
  <r>
    <x v="318"/>
    <x v="118"/>
    <x v="0"/>
    <n v="23"/>
    <x v="1"/>
    <x v="5"/>
    <s v="2025-02-20"/>
    <x v="0"/>
    <x v="317"/>
    <n v="8122"/>
    <n v="99"/>
    <x v="2"/>
    <x v="0"/>
    <x v="4"/>
  </r>
  <r>
    <x v="319"/>
    <x v="94"/>
    <x v="0"/>
    <n v="27"/>
    <x v="5"/>
    <x v="5"/>
    <s v="2021-05-29"/>
    <x v="3"/>
    <x v="318"/>
    <n v="6931"/>
    <n v="84"/>
    <x v="1"/>
    <x v="0"/>
    <x v="3"/>
  </r>
  <r>
    <x v="320"/>
    <x v="7"/>
    <x v="1"/>
    <n v="36"/>
    <x v="0"/>
    <x v="3"/>
    <s v="2018-08-15"/>
    <x v="11"/>
    <x v="319"/>
    <n v="2000"/>
    <n v="84"/>
    <x v="3"/>
    <x v="0"/>
    <x v="2"/>
  </r>
  <r>
    <x v="321"/>
    <x v="132"/>
    <x v="1"/>
    <n v="40"/>
    <x v="1"/>
    <x v="2"/>
    <s v="2019-05-14"/>
    <x v="6"/>
    <x v="320"/>
    <n v="14437"/>
    <n v="100"/>
    <x v="2"/>
    <x v="0"/>
    <x v="4"/>
  </r>
  <r>
    <x v="322"/>
    <x v="35"/>
    <x v="1"/>
    <n v="26"/>
    <x v="0"/>
    <x v="6"/>
    <s v="2019-10-27"/>
    <x v="8"/>
    <x v="321"/>
    <n v="3486"/>
    <n v="76"/>
    <x v="0"/>
    <x v="0"/>
    <x v="0"/>
  </r>
  <r>
    <x v="323"/>
    <x v="133"/>
    <x v="1"/>
    <n v="46"/>
    <x v="4"/>
    <x v="5"/>
    <s v="2023-01-26"/>
    <x v="0"/>
    <x v="322"/>
    <n v="8345"/>
    <n v="82"/>
    <x v="2"/>
    <x v="0"/>
    <x v="1"/>
  </r>
  <r>
    <x v="324"/>
    <x v="63"/>
    <x v="1"/>
    <n v="43"/>
    <x v="2"/>
    <x v="2"/>
    <s v="2022-12-15"/>
    <x v="8"/>
    <x v="323"/>
    <n v="5465"/>
    <n v="82"/>
    <x v="0"/>
    <x v="0"/>
    <x v="0"/>
  </r>
  <r>
    <x v="325"/>
    <x v="40"/>
    <x v="0"/>
    <n v="40"/>
    <x v="4"/>
    <x v="5"/>
    <s v="2023-08-23"/>
    <x v="1"/>
    <x v="324"/>
    <n v="3277"/>
    <n v="87"/>
    <x v="2"/>
    <x v="0"/>
    <x v="0"/>
  </r>
  <r>
    <x v="326"/>
    <x v="51"/>
    <x v="1"/>
    <n v="41"/>
    <x v="1"/>
    <x v="3"/>
    <s v="2021-03-24"/>
    <x v="10"/>
    <x v="325"/>
    <n v="15494"/>
    <n v="93"/>
    <x v="1"/>
    <x v="0"/>
    <x v="4"/>
  </r>
  <r>
    <x v="327"/>
    <x v="6"/>
    <x v="1"/>
    <n v="37"/>
    <x v="3"/>
    <x v="6"/>
    <s v="2018-11-23"/>
    <x v="10"/>
    <x v="326"/>
    <n v="5637"/>
    <n v="75"/>
    <x v="1"/>
    <x v="0"/>
    <x v="4"/>
  </r>
  <r>
    <x v="328"/>
    <x v="107"/>
    <x v="1"/>
    <n v="50"/>
    <x v="0"/>
    <x v="5"/>
    <s v="2020-12-28"/>
    <x v="4"/>
    <x v="327"/>
    <n v="6682"/>
    <n v="91"/>
    <x v="3"/>
    <x v="0"/>
    <x v="4"/>
  </r>
  <r>
    <x v="329"/>
    <x v="13"/>
    <x v="0"/>
    <n v="40"/>
    <x v="4"/>
    <x v="6"/>
    <s v="2019-03-30"/>
    <x v="3"/>
    <x v="328"/>
    <n v="3961"/>
    <n v="100"/>
    <x v="3"/>
    <x v="0"/>
    <x v="4"/>
  </r>
  <r>
    <x v="330"/>
    <x v="97"/>
    <x v="1"/>
    <n v="35"/>
    <x v="4"/>
    <x v="0"/>
    <s v="2019-08-03"/>
    <x v="1"/>
    <x v="329"/>
    <n v="5192"/>
    <n v="99"/>
    <x v="0"/>
    <x v="1"/>
    <x v="4"/>
  </r>
  <r>
    <x v="331"/>
    <x v="86"/>
    <x v="1"/>
    <n v="23"/>
    <x v="1"/>
    <x v="4"/>
    <s v="2025-09-17"/>
    <x v="0"/>
    <x v="330"/>
    <n v="14492"/>
    <n v="91"/>
    <x v="3"/>
    <x v="0"/>
    <x v="0"/>
  </r>
  <r>
    <x v="332"/>
    <x v="75"/>
    <x v="1"/>
    <n v="29"/>
    <x v="0"/>
    <x v="0"/>
    <s v="2025-09-09"/>
    <x v="5"/>
    <x v="331"/>
    <n v="8031"/>
    <n v="89"/>
    <x v="2"/>
    <x v="0"/>
    <x v="4"/>
  </r>
  <r>
    <x v="333"/>
    <x v="33"/>
    <x v="0"/>
    <n v="50"/>
    <x v="5"/>
    <x v="6"/>
    <s v="2020-08-13"/>
    <x v="15"/>
    <x v="332"/>
    <n v="11336"/>
    <n v="77"/>
    <x v="2"/>
    <x v="0"/>
    <x v="2"/>
  </r>
  <r>
    <x v="334"/>
    <x v="66"/>
    <x v="0"/>
    <n v="30"/>
    <x v="5"/>
    <x v="4"/>
    <s v="2021-11-30"/>
    <x v="3"/>
    <x v="333"/>
    <n v="3608"/>
    <n v="89"/>
    <x v="2"/>
    <x v="0"/>
    <x v="0"/>
  </r>
  <r>
    <x v="335"/>
    <x v="39"/>
    <x v="1"/>
    <n v="35"/>
    <x v="3"/>
    <x v="2"/>
    <s v="2019-10-28"/>
    <x v="4"/>
    <x v="334"/>
    <n v="8283"/>
    <n v="99"/>
    <x v="2"/>
    <x v="0"/>
    <x v="1"/>
  </r>
  <r>
    <x v="336"/>
    <x v="134"/>
    <x v="0"/>
    <n v="45"/>
    <x v="5"/>
    <x v="2"/>
    <s v="2025-01-06"/>
    <x v="12"/>
    <x v="335"/>
    <n v="7063"/>
    <n v="90"/>
    <x v="0"/>
    <x v="0"/>
    <x v="3"/>
  </r>
  <r>
    <x v="337"/>
    <x v="135"/>
    <x v="0"/>
    <n v="37"/>
    <x v="0"/>
    <x v="2"/>
    <s v="2018-09-15"/>
    <x v="3"/>
    <x v="336"/>
    <n v="21843"/>
    <n v="77"/>
    <x v="1"/>
    <x v="0"/>
    <x v="4"/>
  </r>
  <r>
    <x v="338"/>
    <x v="2"/>
    <x v="1"/>
    <n v="40"/>
    <x v="4"/>
    <x v="5"/>
    <s v="2023-11-30"/>
    <x v="10"/>
    <x v="337"/>
    <n v="5656"/>
    <n v="100"/>
    <x v="3"/>
    <x v="0"/>
    <x v="0"/>
  </r>
  <r>
    <x v="339"/>
    <x v="136"/>
    <x v="0"/>
    <n v="41"/>
    <x v="2"/>
    <x v="4"/>
    <s v="2020-07-08"/>
    <x v="10"/>
    <x v="338"/>
    <n v="16468"/>
    <n v="81"/>
    <x v="0"/>
    <x v="0"/>
    <x v="2"/>
  </r>
  <r>
    <x v="340"/>
    <x v="96"/>
    <x v="0"/>
    <n v="25"/>
    <x v="5"/>
    <x v="5"/>
    <s v="2023-07-31"/>
    <x v="9"/>
    <x v="339"/>
    <n v="18972"/>
    <n v="80"/>
    <x v="3"/>
    <x v="0"/>
    <x v="2"/>
  </r>
  <r>
    <x v="341"/>
    <x v="131"/>
    <x v="0"/>
    <n v="45"/>
    <x v="5"/>
    <x v="3"/>
    <s v="2022-08-11"/>
    <x v="12"/>
    <x v="340"/>
    <n v="17408"/>
    <n v="75"/>
    <x v="0"/>
    <x v="0"/>
    <x v="1"/>
  </r>
  <r>
    <x v="342"/>
    <x v="80"/>
    <x v="1"/>
    <n v="36"/>
    <x v="2"/>
    <x v="5"/>
    <s v="2022-09-19"/>
    <x v="3"/>
    <x v="341"/>
    <n v="4449"/>
    <n v="81"/>
    <x v="0"/>
    <x v="0"/>
    <x v="2"/>
  </r>
  <r>
    <x v="343"/>
    <x v="66"/>
    <x v="0"/>
    <n v="23"/>
    <x v="5"/>
    <x v="1"/>
    <s v="2023-07-10"/>
    <x v="8"/>
    <x v="342"/>
    <n v="3418"/>
    <n v="99"/>
    <x v="0"/>
    <x v="0"/>
    <x v="1"/>
  </r>
  <r>
    <x v="344"/>
    <x v="87"/>
    <x v="0"/>
    <n v="38"/>
    <x v="3"/>
    <x v="3"/>
    <s v="2024-04-17"/>
    <x v="2"/>
    <x v="343"/>
    <n v="16396"/>
    <n v="78"/>
    <x v="2"/>
    <x v="0"/>
    <x v="3"/>
  </r>
  <r>
    <x v="345"/>
    <x v="124"/>
    <x v="1"/>
    <n v="25"/>
    <x v="2"/>
    <x v="4"/>
    <s v="2025-12-11"/>
    <x v="10"/>
    <x v="344"/>
    <n v="8648"/>
    <n v="89"/>
    <x v="0"/>
    <x v="0"/>
    <x v="0"/>
  </r>
  <r>
    <x v="346"/>
    <x v="106"/>
    <x v="1"/>
    <n v="22"/>
    <x v="4"/>
    <x v="2"/>
    <s v="2025-01-27"/>
    <x v="5"/>
    <x v="345"/>
    <n v="4184"/>
    <n v="95"/>
    <x v="1"/>
    <x v="0"/>
    <x v="2"/>
  </r>
  <r>
    <x v="347"/>
    <x v="137"/>
    <x v="1"/>
    <n v="38"/>
    <x v="3"/>
    <x v="4"/>
    <s v="2020-07-29"/>
    <x v="4"/>
    <x v="346"/>
    <n v="10825"/>
    <n v="77"/>
    <x v="2"/>
    <x v="0"/>
    <x v="2"/>
  </r>
  <r>
    <x v="348"/>
    <x v="23"/>
    <x v="1"/>
    <n v="22"/>
    <x v="2"/>
    <x v="1"/>
    <s v="2025-05-18"/>
    <x v="13"/>
    <x v="347"/>
    <n v="4267"/>
    <n v="88"/>
    <x v="3"/>
    <x v="0"/>
    <x v="2"/>
  </r>
  <r>
    <x v="349"/>
    <x v="70"/>
    <x v="1"/>
    <n v="36"/>
    <x v="0"/>
    <x v="1"/>
    <s v="2022-04-15"/>
    <x v="12"/>
    <x v="348"/>
    <n v="1440"/>
    <n v="82"/>
    <x v="1"/>
    <x v="0"/>
    <x v="1"/>
  </r>
  <r>
    <x v="350"/>
    <x v="115"/>
    <x v="0"/>
    <n v="32"/>
    <x v="4"/>
    <x v="4"/>
    <s v="2019-10-30"/>
    <x v="15"/>
    <x v="349"/>
    <n v="5123"/>
    <n v="89"/>
    <x v="0"/>
    <x v="0"/>
    <x v="0"/>
  </r>
  <r>
    <x v="351"/>
    <x v="8"/>
    <x v="1"/>
    <n v="34"/>
    <x v="0"/>
    <x v="5"/>
    <s v="2024-02-04"/>
    <x v="3"/>
    <x v="350"/>
    <n v="10355"/>
    <n v="79"/>
    <x v="1"/>
    <x v="0"/>
    <x v="1"/>
  </r>
  <r>
    <x v="352"/>
    <x v="60"/>
    <x v="0"/>
    <n v="45"/>
    <x v="4"/>
    <x v="5"/>
    <s v="2021-10-30"/>
    <x v="6"/>
    <x v="234"/>
    <n v="15871"/>
    <n v="82"/>
    <x v="1"/>
    <x v="0"/>
    <x v="0"/>
  </r>
  <r>
    <x v="353"/>
    <x v="109"/>
    <x v="1"/>
    <n v="23"/>
    <x v="2"/>
    <x v="4"/>
    <s v="2019-11-23"/>
    <x v="11"/>
    <x v="351"/>
    <n v="11631"/>
    <n v="95"/>
    <x v="0"/>
    <x v="0"/>
    <x v="1"/>
  </r>
  <r>
    <x v="354"/>
    <x v="27"/>
    <x v="0"/>
    <n v="45"/>
    <x v="4"/>
    <x v="3"/>
    <s v="2025-06-08"/>
    <x v="11"/>
    <x v="352"/>
    <n v="7016"/>
    <n v="77"/>
    <x v="2"/>
    <x v="0"/>
    <x v="2"/>
  </r>
  <r>
    <x v="355"/>
    <x v="5"/>
    <x v="0"/>
    <n v="37"/>
    <x v="1"/>
    <x v="5"/>
    <s v="2023-05-31"/>
    <x v="15"/>
    <x v="353"/>
    <n v="13574"/>
    <n v="84"/>
    <x v="1"/>
    <x v="0"/>
    <x v="4"/>
  </r>
  <r>
    <x v="356"/>
    <x v="138"/>
    <x v="1"/>
    <n v="44"/>
    <x v="3"/>
    <x v="6"/>
    <s v="2019-05-10"/>
    <x v="15"/>
    <x v="354"/>
    <n v="3992"/>
    <n v="78"/>
    <x v="0"/>
    <x v="0"/>
    <x v="0"/>
  </r>
  <r>
    <x v="357"/>
    <x v="139"/>
    <x v="1"/>
    <n v="29"/>
    <x v="5"/>
    <x v="3"/>
    <s v="2022-09-19"/>
    <x v="0"/>
    <x v="355"/>
    <n v="15417"/>
    <n v="100"/>
    <x v="0"/>
    <x v="1"/>
    <x v="4"/>
  </r>
  <r>
    <x v="358"/>
    <x v="132"/>
    <x v="1"/>
    <n v="48"/>
    <x v="5"/>
    <x v="1"/>
    <s v="2024-10-04"/>
    <x v="9"/>
    <x v="356"/>
    <n v="4417"/>
    <n v="83"/>
    <x v="0"/>
    <x v="0"/>
    <x v="4"/>
  </r>
  <r>
    <x v="359"/>
    <x v="70"/>
    <x v="0"/>
    <n v="26"/>
    <x v="1"/>
    <x v="0"/>
    <s v="2019-06-01"/>
    <x v="5"/>
    <x v="357"/>
    <n v="9622"/>
    <n v="82"/>
    <x v="1"/>
    <x v="0"/>
    <x v="3"/>
  </r>
  <r>
    <x v="360"/>
    <x v="140"/>
    <x v="0"/>
    <n v="49"/>
    <x v="4"/>
    <x v="5"/>
    <s v="2023-07-20"/>
    <x v="14"/>
    <x v="358"/>
    <n v="2929"/>
    <n v="98"/>
    <x v="3"/>
    <x v="0"/>
    <x v="0"/>
  </r>
  <r>
    <x v="361"/>
    <x v="45"/>
    <x v="1"/>
    <n v="25"/>
    <x v="1"/>
    <x v="2"/>
    <s v="2018-10-15"/>
    <x v="12"/>
    <x v="359"/>
    <n v="10986"/>
    <n v="100"/>
    <x v="0"/>
    <x v="0"/>
    <x v="3"/>
  </r>
  <r>
    <x v="362"/>
    <x v="48"/>
    <x v="1"/>
    <n v="22"/>
    <x v="3"/>
    <x v="4"/>
    <s v="2024-06-28"/>
    <x v="13"/>
    <x v="360"/>
    <n v="14239"/>
    <n v="89"/>
    <x v="1"/>
    <x v="0"/>
    <x v="3"/>
  </r>
  <r>
    <x v="363"/>
    <x v="139"/>
    <x v="0"/>
    <n v="50"/>
    <x v="3"/>
    <x v="4"/>
    <s v="2024-03-28"/>
    <x v="11"/>
    <x v="361"/>
    <n v="12057"/>
    <n v="98"/>
    <x v="0"/>
    <x v="0"/>
    <x v="1"/>
  </r>
  <r>
    <x v="364"/>
    <x v="75"/>
    <x v="0"/>
    <n v="27"/>
    <x v="3"/>
    <x v="2"/>
    <s v="2026-03-02"/>
    <x v="4"/>
    <x v="362"/>
    <n v="5971"/>
    <n v="96"/>
    <x v="3"/>
    <x v="0"/>
    <x v="3"/>
  </r>
  <r>
    <x v="365"/>
    <x v="141"/>
    <x v="1"/>
    <n v="23"/>
    <x v="0"/>
    <x v="2"/>
    <s v="2020-08-02"/>
    <x v="9"/>
    <x v="363"/>
    <n v="9916"/>
    <n v="92"/>
    <x v="0"/>
    <x v="0"/>
    <x v="4"/>
  </r>
  <r>
    <x v="366"/>
    <x v="107"/>
    <x v="0"/>
    <n v="33"/>
    <x v="3"/>
    <x v="5"/>
    <s v="2024-05-10"/>
    <x v="9"/>
    <x v="364"/>
    <n v="5376"/>
    <n v="95"/>
    <x v="0"/>
    <x v="0"/>
    <x v="3"/>
  </r>
  <r>
    <x v="367"/>
    <x v="85"/>
    <x v="0"/>
    <n v="34"/>
    <x v="0"/>
    <x v="2"/>
    <s v="2025-12-01"/>
    <x v="13"/>
    <x v="365"/>
    <n v="1903"/>
    <n v="99"/>
    <x v="0"/>
    <x v="1"/>
    <x v="0"/>
  </r>
  <r>
    <x v="368"/>
    <x v="142"/>
    <x v="1"/>
    <n v="31"/>
    <x v="1"/>
    <x v="1"/>
    <s v="2025-10-14"/>
    <x v="1"/>
    <x v="366"/>
    <n v="14519"/>
    <n v="80"/>
    <x v="1"/>
    <x v="0"/>
    <x v="2"/>
  </r>
  <r>
    <x v="369"/>
    <x v="9"/>
    <x v="1"/>
    <n v="30"/>
    <x v="0"/>
    <x v="4"/>
    <s v="2019-10-09"/>
    <x v="0"/>
    <x v="241"/>
    <n v="7519"/>
    <n v="76"/>
    <x v="3"/>
    <x v="0"/>
    <x v="0"/>
  </r>
  <r>
    <x v="370"/>
    <x v="139"/>
    <x v="0"/>
    <n v="28"/>
    <x v="5"/>
    <x v="2"/>
    <s v="2024-05-13"/>
    <x v="11"/>
    <x v="367"/>
    <n v="4844"/>
    <n v="75"/>
    <x v="1"/>
    <x v="0"/>
    <x v="3"/>
  </r>
  <r>
    <x v="371"/>
    <x v="21"/>
    <x v="0"/>
    <n v="47"/>
    <x v="4"/>
    <x v="5"/>
    <s v="2025-08-20"/>
    <x v="2"/>
    <x v="368"/>
    <n v="15466"/>
    <n v="82"/>
    <x v="1"/>
    <x v="0"/>
    <x v="0"/>
  </r>
  <r>
    <x v="372"/>
    <x v="37"/>
    <x v="1"/>
    <n v="28"/>
    <x v="5"/>
    <x v="1"/>
    <s v="2025-08-29"/>
    <x v="12"/>
    <x v="369"/>
    <n v="11342"/>
    <n v="80"/>
    <x v="1"/>
    <x v="0"/>
    <x v="1"/>
  </r>
  <r>
    <x v="373"/>
    <x v="24"/>
    <x v="1"/>
    <n v="39"/>
    <x v="3"/>
    <x v="4"/>
    <s v="2020-04-01"/>
    <x v="2"/>
    <x v="370"/>
    <n v="5543"/>
    <n v="82"/>
    <x v="0"/>
    <x v="0"/>
    <x v="4"/>
  </r>
  <r>
    <x v="374"/>
    <x v="5"/>
    <x v="1"/>
    <n v="48"/>
    <x v="1"/>
    <x v="5"/>
    <s v="2024-04-09"/>
    <x v="9"/>
    <x v="371"/>
    <n v="6066"/>
    <n v="91"/>
    <x v="0"/>
    <x v="0"/>
    <x v="2"/>
  </r>
  <r>
    <x v="375"/>
    <x v="134"/>
    <x v="1"/>
    <n v="28"/>
    <x v="1"/>
    <x v="1"/>
    <s v="2019-11-01"/>
    <x v="2"/>
    <x v="372"/>
    <n v="6979"/>
    <n v="100"/>
    <x v="1"/>
    <x v="0"/>
    <x v="1"/>
  </r>
  <r>
    <x v="376"/>
    <x v="120"/>
    <x v="1"/>
    <n v="28"/>
    <x v="3"/>
    <x v="4"/>
    <s v="2019-11-06"/>
    <x v="15"/>
    <x v="373"/>
    <n v="11759"/>
    <n v="78"/>
    <x v="3"/>
    <x v="0"/>
    <x v="3"/>
  </r>
  <r>
    <x v="377"/>
    <x v="112"/>
    <x v="0"/>
    <n v="44"/>
    <x v="4"/>
    <x v="0"/>
    <s v="2023-08-15"/>
    <x v="2"/>
    <x v="374"/>
    <n v="7778"/>
    <n v="100"/>
    <x v="2"/>
    <x v="0"/>
    <x v="2"/>
  </r>
  <r>
    <x v="378"/>
    <x v="143"/>
    <x v="1"/>
    <n v="37"/>
    <x v="5"/>
    <x v="6"/>
    <s v="2024-08-03"/>
    <x v="15"/>
    <x v="375"/>
    <n v="5516"/>
    <n v="82"/>
    <x v="1"/>
    <x v="0"/>
    <x v="3"/>
  </r>
  <r>
    <x v="379"/>
    <x v="144"/>
    <x v="0"/>
    <n v="34"/>
    <x v="5"/>
    <x v="0"/>
    <s v="2021-08-30"/>
    <x v="6"/>
    <x v="376"/>
    <n v="8392"/>
    <n v="86"/>
    <x v="2"/>
    <x v="0"/>
    <x v="1"/>
  </r>
  <r>
    <x v="380"/>
    <x v="142"/>
    <x v="0"/>
    <n v="42"/>
    <x v="1"/>
    <x v="4"/>
    <s v="2025-06-14"/>
    <x v="6"/>
    <x v="377"/>
    <n v="6420"/>
    <n v="86"/>
    <x v="2"/>
    <x v="0"/>
    <x v="1"/>
  </r>
  <r>
    <x v="381"/>
    <x v="2"/>
    <x v="0"/>
    <n v="43"/>
    <x v="2"/>
    <x v="5"/>
    <s v="2018-01-05"/>
    <x v="7"/>
    <x v="378"/>
    <n v="6374"/>
    <n v="79"/>
    <x v="3"/>
    <x v="0"/>
    <x v="4"/>
  </r>
  <r>
    <x v="382"/>
    <x v="104"/>
    <x v="0"/>
    <n v="30"/>
    <x v="2"/>
    <x v="1"/>
    <s v="2019-03-29"/>
    <x v="6"/>
    <x v="379"/>
    <n v="7422"/>
    <n v="99"/>
    <x v="3"/>
    <x v="0"/>
    <x v="2"/>
  </r>
  <r>
    <x v="383"/>
    <x v="63"/>
    <x v="0"/>
    <n v="30"/>
    <x v="2"/>
    <x v="3"/>
    <s v="2023-03-15"/>
    <x v="15"/>
    <x v="380"/>
    <n v="7089"/>
    <n v="86"/>
    <x v="3"/>
    <x v="0"/>
    <x v="0"/>
  </r>
  <r>
    <x v="384"/>
    <x v="60"/>
    <x v="0"/>
    <n v="27"/>
    <x v="3"/>
    <x v="1"/>
    <s v="2018-08-29"/>
    <x v="9"/>
    <x v="381"/>
    <n v="13183"/>
    <n v="96"/>
    <x v="0"/>
    <x v="0"/>
    <x v="4"/>
  </r>
  <r>
    <x v="385"/>
    <x v="145"/>
    <x v="1"/>
    <n v="29"/>
    <x v="3"/>
    <x v="6"/>
    <s v="2018-01-02"/>
    <x v="12"/>
    <x v="382"/>
    <n v="16265"/>
    <n v="76"/>
    <x v="0"/>
    <x v="0"/>
    <x v="0"/>
  </r>
  <r>
    <x v="386"/>
    <x v="86"/>
    <x v="0"/>
    <n v="46"/>
    <x v="5"/>
    <x v="1"/>
    <s v="2022-11-28"/>
    <x v="5"/>
    <x v="383"/>
    <n v="4479"/>
    <n v="90"/>
    <x v="1"/>
    <x v="0"/>
    <x v="4"/>
  </r>
  <r>
    <x v="387"/>
    <x v="41"/>
    <x v="1"/>
    <n v="39"/>
    <x v="3"/>
    <x v="1"/>
    <s v="2022-06-19"/>
    <x v="10"/>
    <x v="384"/>
    <n v="9943"/>
    <n v="96"/>
    <x v="2"/>
    <x v="0"/>
    <x v="0"/>
  </r>
  <r>
    <x v="388"/>
    <x v="146"/>
    <x v="1"/>
    <n v="48"/>
    <x v="1"/>
    <x v="4"/>
    <s v="2018-03-07"/>
    <x v="8"/>
    <x v="385"/>
    <n v="13434"/>
    <n v="78"/>
    <x v="1"/>
    <x v="0"/>
    <x v="1"/>
  </r>
  <r>
    <x v="389"/>
    <x v="104"/>
    <x v="1"/>
    <n v="39"/>
    <x v="0"/>
    <x v="1"/>
    <s v="2025-11-15"/>
    <x v="2"/>
    <x v="386"/>
    <n v="8255"/>
    <n v="90"/>
    <x v="0"/>
    <x v="1"/>
    <x v="3"/>
  </r>
  <r>
    <x v="390"/>
    <x v="109"/>
    <x v="1"/>
    <n v="43"/>
    <x v="5"/>
    <x v="6"/>
    <s v="2021-02-23"/>
    <x v="7"/>
    <x v="387"/>
    <n v="6987"/>
    <n v="99"/>
    <x v="3"/>
    <x v="0"/>
    <x v="4"/>
  </r>
  <r>
    <x v="391"/>
    <x v="74"/>
    <x v="1"/>
    <n v="33"/>
    <x v="5"/>
    <x v="6"/>
    <s v="2024-12-29"/>
    <x v="9"/>
    <x v="388"/>
    <n v="16002"/>
    <n v="76"/>
    <x v="0"/>
    <x v="0"/>
    <x v="3"/>
  </r>
  <r>
    <x v="392"/>
    <x v="24"/>
    <x v="1"/>
    <n v="50"/>
    <x v="1"/>
    <x v="4"/>
    <s v="2022-11-29"/>
    <x v="4"/>
    <x v="389"/>
    <n v="8224"/>
    <n v="84"/>
    <x v="1"/>
    <x v="0"/>
    <x v="0"/>
  </r>
  <r>
    <x v="393"/>
    <x v="34"/>
    <x v="0"/>
    <n v="44"/>
    <x v="0"/>
    <x v="3"/>
    <s v="2023-08-07"/>
    <x v="14"/>
    <x v="390"/>
    <n v="12204"/>
    <n v="75"/>
    <x v="0"/>
    <x v="0"/>
    <x v="4"/>
  </r>
  <r>
    <x v="394"/>
    <x v="133"/>
    <x v="0"/>
    <n v="43"/>
    <x v="2"/>
    <x v="5"/>
    <s v="2021-06-04"/>
    <x v="1"/>
    <x v="391"/>
    <n v="8048"/>
    <n v="100"/>
    <x v="1"/>
    <x v="0"/>
    <x v="3"/>
  </r>
  <r>
    <x v="395"/>
    <x v="12"/>
    <x v="0"/>
    <n v="22"/>
    <x v="4"/>
    <x v="0"/>
    <s v="2018-12-25"/>
    <x v="9"/>
    <x v="392"/>
    <n v="14306"/>
    <n v="84"/>
    <x v="2"/>
    <x v="0"/>
    <x v="2"/>
  </r>
  <r>
    <x v="396"/>
    <x v="76"/>
    <x v="0"/>
    <n v="35"/>
    <x v="0"/>
    <x v="1"/>
    <s v="2025-04-12"/>
    <x v="12"/>
    <x v="393"/>
    <n v="5467"/>
    <n v="96"/>
    <x v="0"/>
    <x v="0"/>
    <x v="1"/>
  </r>
  <r>
    <x v="397"/>
    <x v="104"/>
    <x v="0"/>
    <n v="34"/>
    <x v="3"/>
    <x v="6"/>
    <s v="2022-09-21"/>
    <x v="15"/>
    <x v="394"/>
    <n v="10760"/>
    <n v="89"/>
    <x v="3"/>
    <x v="0"/>
    <x v="0"/>
  </r>
  <r>
    <x v="398"/>
    <x v="5"/>
    <x v="1"/>
    <n v="47"/>
    <x v="5"/>
    <x v="5"/>
    <s v="2025-05-29"/>
    <x v="6"/>
    <x v="395"/>
    <n v="10262"/>
    <n v="81"/>
    <x v="1"/>
    <x v="0"/>
    <x v="0"/>
  </r>
  <r>
    <x v="399"/>
    <x v="25"/>
    <x v="0"/>
    <n v="50"/>
    <x v="4"/>
    <x v="2"/>
    <s v="2021-05-20"/>
    <x v="14"/>
    <x v="396"/>
    <n v="4099"/>
    <n v="85"/>
    <x v="1"/>
    <x v="0"/>
    <x v="2"/>
  </r>
  <r>
    <x v="400"/>
    <x v="101"/>
    <x v="0"/>
    <n v="42"/>
    <x v="2"/>
    <x v="6"/>
    <s v="2022-03-04"/>
    <x v="11"/>
    <x v="397"/>
    <n v="15561"/>
    <n v="76"/>
    <x v="1"/>
    <x v="0"/>
    <x v="1"/>
  </r>
  <r>
    <x v="401"/>
    <x v="67"/>
    <x v="0"/>
    <n v="38"/>
    <x v="2"/>
    <x v="5"/>
    <s v="2021-05-22"/>
    <x v="12"/>
    <x v="398"/>
    <n v="8681"/>
    <n v="98"/>
    <x v="0"/>
    <x v="0"/>
    <x v="0"/>
  </r>
  <r>
    <x v="402"/>
    <x v="144"/>
    <x v="1"/>
    <n v="33"/>
    <x v="0"/>
    <x v="5"/>
    <s v="2023-10-24"/>
    <x v="11"/>
    <x v="399"/>
    <n v="15690"/>
    <n v="93"/>
    <x v="1"/>
    <x v="0"/>
    <x v="0"/>
  </r>
  <r>
    <x v="403"/>
    <x v="61"/>
    <x v="1"/>
    <n v="25"/>
    <x v="5"/>
    <x v="4"/>
    <s v="2021-12-20"/>
    <x v="10"/>
    <x v="400"/>
    <n v="10802"/>
    <n v="78"/>
    <x v="0"/>
    <x v="0"/>
    <x v="1"/>
  </r>
  <r>
    <x v="404"/>
    <x v="147"/>
    <x v="1"/>
    <n v="40"/>
    <x v="5"/>
    <x v="3"/>
    <s v="2019-06-25"/>
    <x v="6"/>
    <x v="401"/>
    <n v="6681"/>
    <n v="98"/>
    <x v="1"/>
    <x v="0"/>
    <x v="2"/>
  </r>
  <r>
    <x v="405"/>
    <x v="74"/>
    <x v="1"/>
    <n v="47"/>
    <x v="5"/>
    <x v="6"/>
    <s v="2023-01-21"/>
    <x v="0"/>
    <x v="42"/>
    <n v="11895"/>
    <n v="84"/>
    <x v="1"/>
    <x v="0"/>
    <x v="4"/>
  </r>
  <r>
    <x v="406"/>
    <x v="12"/>
    <x v="1"/>
    <n v="30"/>
    <x v="4"/>
    <x v="1"/>
    <s v="2018-12-13"/>
    <x v="6"/>
    <x v="402"/>
    <n v="5432"/>
    <n v="78"/>
    <x v="2"/>
    <x v="0"/>
    <x v="2"/>
  </r>
  <r>
    <x v="407"/>
    <x v="103"/>
    <x v="0"/>
    <n v="33"/>
    <x v="0"/>
    <x v="3"/>
    <s v="2019-07-14"/>
    <x v="13"/>
    <x v="403"/>
    <n v="9281"/>
    <n v="100"/>
    <x v="1"/>
    <x v="0"/>
    <x v="3"/>
  </r>
  <r>
    <x v="408"/>
    <x v="112"/>
    <x v="0"/>
    <n v="24"/>
    <x v="0"/>
    <x v="6"/>
    <s v="2023-01-26"/>
    <x v="10"/>
    <x v="404"/>
    <n v="3969"/>
    <n v="92"/>
    <x v="0"/>
    <x v="1"/>
    <x v="1"/>
  </r>
  <r>
    <x v="409"/>
    <x v="35"/>
    <x v="0"/>
    <n v="30"/>
    <x v="2"/>
    <x v="1"/>
    <s v="2023-12-27"/>
    <x v="3"/>
    <x v="405"/>
    <n v="3365"/>
    <n v="96"/>
    <x v="3"/>
    <x v="0"/>
    <x v="4"/>
  </r>
  <r>
    <x v="410"/>
    <x v="106"/>
    <x v="0"/>
    <n v="38"/>
    <x v="3"/>
    <x v="3"/>
    <s v="2025-05-29"/>
    <x v="3"/>
    <x v="406"/>
    <n v="5499"/>
    <n v="87"/>
    <x v="2"/>
    <x v="0"/>
    <x v="0"/>
  </r>
  <r>
    <x v="411"/>
    <x v="32"/>
    <x v="0"/>
    <n v="24"/>
    <x v="0"/>
    <x v="3"/>
    <s v="2018-09-30"/>
    <x v="5"/>
    <x v="407"/>
    <n v="19769"/>
    <n v="91"/>
    <x v="1"/>
    <x v="0"/>
    <x v="4"/>
  </r>
  <r>
    <x v="412"/>
    <x v="119"/>
    <x v="1"/>
    <n v="42"/>
    <x v="5"/>
    <x v="6"/>
    <s v="2020-01-12"/>
    <x v="13"/>
    <x v="408"/>
    <n v="4364"/>
    <n v="92"/>
    <x v="0"/>
    <x v="1"/>
    <x v="1"/>
  </r>
  <r>
    <x v="413"/>
    <x v="96"/>
    <x v="1"/>
    <n v="36"/>
    <x v="5"/>
    <x v="1"/>
    <s v="2022-10-03"/>
    <x v="14"/>
    <x v="409"/>
    <n v="11792"/>
    <n v="88"/>
    <x v="2"/>
    <x v="0"/>
    <x v="3"/>
  </r>
  <r>
    <x v="414"/>
    <x v="2"/>
    <x v="1"/>
    <n v="38"/>
    <x v="1"/>
    <x v="1"/>
    <s v="2023-08-11"/>
    <x v="0"/>
    <x v="410"/>
    <n v="14154"/>
    <n v="80"/>
    <x v="1"/>
    <x v="0"/>
    <x v="3"/>
  </r>
  <r>
    <x v="415"/>
    <x v="17"/>
    <x v="1"/>
    <n v="45"/>
    <x v="1"/>
    <x v="4"/>
    <s v="2021-12-20"/>
    <x v="7"/>
    <x v="411"/>
    <n v="20566"/>
    <n v="96"/>
    <x v="0"/>
    <x v="1"/>
    <x v="1"/>
  </r>
  <r>
    <x v="416"/>
    <x v="56"/>
    <x v="1"/>
    <n v="40"/>
    <x v="5"/>
    <x v="3"/>
    <s v="2019-03-12"/>
    <x v="8"/>
    <x v="412"/>
    <n v="8812"/>
    <n v="89"/>
    <x v="3"/>
    <x v="0"/>
    <x v="4"/>
  </r>
  <r>
    <x v="417"/>
    <x v="18"/>
    <x v="0"/>
    <n v="27"/>
    <x v="3"/>
    <x v="2"/>
    <s v="2024-08-19"/>
    <x v="15"/>
    <x v="413"/>
    <n v="17987"/>
    <n v="86"/>
    <x v="0"/>
    <x v="0"/>
    <x v="4"/>
  </r>
  <r>
    <x v="418"/>
    <x v="120"/>
    <x v="1"/>
    <n v="40"/>
    <x v="2"/>
    <x v="2"/>
    <s v="2023-01-18"/>
    <x v="11"/>
    <x v="414"/>
    <n v="5915"/>
    <n v="94"/>
    <x v="1"/>
    <x v="0"/>
    <x v="0"/>
  </r>
  <r>
    <x v="419"/>
    <x v="135"/>
    <x v="1"/>
    <n v="30"/>
    <x v="4"/>
    <x v="2"/>
    <s v="2019-09-18"/>
    <x v="10"/>
    <x v="415"/>
    <n v="4418"/>
    <n v="81"/>
    <x v="1"/>
    <x v="0"/>
    <x v="0"/>
  </r>
  <r>
    <x v="420"/>
    <x v="127"/>
    <x v="0"/>
    <n v="41"/>
    <x v="4"/>
    <x v="3"/>
    <s v="2019-04-18"/>
    <x v="2"/>
    <x v="416"/>
    <n v="1871"/>
    <n v="88"/>
    <x v="3"/>
    <x v="0"/>
    <x v="3"/>
  </r>
  <r>
    <x v="421"/>
    <x v="124"/>
    <x v="0"/>
    <n v="46"/>
    <x v="3"/>
    <x v="4"/>
    <s v="2019-07-13"/>
    <x v="0"/>
    <x v="417"/>
    <n v="5220"/>
    <n v="88"/>
    <x v="0"/>
    <x v="0"/>
    <x v="3"/>
  </r>
  <r>
    <x v="422"/>
    <x v="148"/>
    <x v="0"/>
    <n v="43"/>
    <x v="0"/>
    <x v="5"/>
    <s v="2022-12-16"/>
    <x v="8"/>
    <x v="418"/>
    <n v="19102"/>
    <n v="91"/>
    <x v="3"/>
    <x v="0"/>
    <x v="0"/>
  </r>
  <r>
    <x v="423"/>
    <x v="149"/>
    <x v="1"/>
    <n v="45"/>
    <x v="1"/>
    <x v="1"/>
    <s v="2024-06-26"/>
    <x v="0"/>
    <x v="419"/>
    <n v="2532"/>
    <n v="94"/>
    <x v="3"/>
    <x v="0"/>
    <x v="0"/>
  </r>
  <r>
    <x v="424"/>
    <x v="131"/>
    <x v="1"/>
    <n v="50"/>
    <x v="1"/>
    <x v="1"/>
    <s v="2019-10-04"/>
    <x v="10"/>
    <x v="420"/>
    <n v="11009"/>
    <n v="83"/>
    <x v="3"/>
    <x v="0"/>
    <x v="1"/>
  </r>
  <r>
    <x v="425"/>
    <x v="127"/>
    <x v="0"/>
    <n v="43"/>
    <x v="5"/>
    <x v="2"/>
    <s v="2021-01-02"/>
    <x v="2"/>
    <x v="421"/>
    <n v="1588"/>
    <n v="80"/>
    <x v="3"/>
    <x v="0"/>
    <x v="2"/>
  </r>
  <r>
    <x v="426"/>
    <x v="62"/>
    <x v="0"/>
    <n v="28"/>
    <x v="3"/>
    <x v="5"/>
    <s v="2021-06-08"/>
    <x v="11"/>
    <x v="422"/>
    <n v="4659"/>
    <n v="84"/>
    <x v="2"/>
    <x v="0"/>
    <x v="1"/>
  </r>
  <r>
    <x v="427"/>
    <x v="150"/>
    <x v="1"/>
    <n v="27"/>
    <x v="0"/>
    <x v="1"/>
    <s v="2023-01-27"/>
    <x v="10"/>
    <x v="423"/>
    <n v="15250"/>
    <n v="86"/>
    <x v="0"/>
    <x v="0"/>
    <x v="4"/>
  </r>
  <r>
    <x v="428"/>
    <x v="81"/>
    <x v="1"/>
    <n v="27"/>
    <x v="1"/>
    <x v="0"/>
    <s v="2025-07-15"/>
    <x v="4"/>
    <x v="424"/>
    <n v="2513"/>
    <n v="86"/>
    <x v="2"/>
    <x v="0"/>
    <x v="1"/>
  </r>
  <r>
    <x v="429"/>
    <x v="92"/>
    <x v="1"/>
    <n v="31"/>
    <x v="4"/>
    <x v="0"/>
    <s v="2022-05-05"/>
    <x v="4"/>
    <x v="425"/>
    <n v="3488"/>
    <n v="95"/>
    <x v="2"/>
    <x v="0"/>
    <x v="4"/>
  </r>
  <r>
    <x v="430"/>
    <x v="19"/>
    <x v="1"/>
    <n v="32"/>
    <x v="3"/>
    <x v="1"/>
    <s v="2023-10-27"/>
    <x v="9"/>
    <x v="426"/>
    <n v="11353"/>
    <n v="81"/>
    <x v="2"/>
    <x v="0"/>
    <x v="3"/>
  </r>
  <r>
    <x v="431"/>
    <x v="139"/>
    <x v="1"/>
    <n v="40"/>
    <x v="2"/>
    <x v="4"/>
    <s v="2022-12-26"/>
    <x v="6"/>
    <x v="427"/>
    <n v="10278"/>
    <n v="77"/>
    <x v="2"/>
    <x v="0"/>
    <x v="3"/>
  </r>
  <r>
    <x v="432"/>
    <x v="91"/>
    <x v="1"/>
    <n v="38"/>
    <x v="4"/>
    <x v="3"/>
    <s v="2023-04-24"/>
    <x v="2"/>
    <x v="428"/>
    <n v="5360"/>
    <n v="88"/>
    <x v="0"/>
    <x v="0"/>
    <x v="0"/>
  </r>
  <r>
    <x v="433"/>
    <x v="63"/>
    <x v="1"/>
    <n v="47"/>
    <x v="3"/>
    <x v="6"/>
    <s v="2019-08-13"/>
    <x v="11"/>
    <x v="429"/>
    <n v="2776"/>
    <n v="88"/>
    <x v="2"/>
    <x v="0"/>
    <x v="1"/>
  </r>
  <r>
    <x v="434"/>
    <x v="43"/>
    <x v="1"/>
    <n v="46"/>
    <x v="3"/>
    <x v="3"/>
    <s v="2024-01-30"/>
    <x v="4"/>
    <x v="430"/>
    <n v="4226"/>
    <n v="82"/>
    <x v="1"/>
    <x v="0"/>
    <x v="1"/>
  </r>
  <r>
    <x v="435"/>
    <x v="47"/>
    <x v="0"/>
    <n v="23"/>
    <x v="4"/>
    <x v="0"/>
    <s v="2019-05-07"/>
    <x v="0"/>
    <x v="431"/>
    <n v="7814"/>
    <n v="79"/>
    <x v="2"/>
    <x v="0"/>
    <x v="1"/>
  </r>
  <r>
    <x v="436"/>
    <x v="63"/>
    <x v="1"/>
    <n v="25"/>
    <x v="1"/>
    <x v="4"/>
    <s v="2019-09-26"/>
    <x v="2"/>
    <x v="432"/>
    <n v="19021"/>
    <n v="78"/>
    <x v="1"/>
    <x v="0"/>
    <x v="1"/>
  </r>
  <r>
    <x v="437"/>
    <x v="53"/>
    <x v="1"/>
    <n v="25"/>
    <x v="2"/>
    <x v="6"/>
    <s v="2022-09-07"/>
    <x v="15"/>
    <x v="433"/>
    <n v="9241"/>
    <n v="78"/>
    <x v="2"/>
    <x v="0"/>
    <x v="3"/>
  </r>
  <r>
    <x v="438"/>
    <x v="47"/>
    <x v="1"/>
    <n v="50"/>
    <x v="0"/>
    <x v="4"/>
    <s v="2022-03-19"/>
    <x v="15"/>
    <x v="434"/>
    <n v="11286"/>
    <n v="87"/>
    <x v="1"/>
    <x v="0"/>
    <x v="1"/>
  </r>
  <r>
    <x v="439"/>
    <x v="27"/>
    <x v="1"/>
    <n v="41"/>
    <x v="3"/>
    <x v="0"/>
    <s v="2021-10-28"/>
    <x v="10"/>
    <x v="435"/>
    <n v="16351"/>
    <n v="87"/>
    <x v="3"/>
    <x v="0"/>
    <x v="0"/>
  </r>
  <r>
    <x v="440"/>
    <x v="91"/>
    <x v="1"/>
    <n v="30"/>
    <x v="5"/>
    <x v="4"/>
    <s v="2021-10-11"/>
    <x v="12"/>
    <x v="436"/>
    <n v="8324"/>
    <n v="92"/>
    <x v="0"/>
    <x v="0"/>
    <x v="4"/>
  </r>
  <r>
    <x v="441"/>
    <x v="99"/>
    <x v="0"/>
    <n v="50"/>
    <x v="3"/>
    <x v="2"/>
    <s v="2021-02-11"/>
    <x v="3"/>
    <x v="437"/>
    <n v="3181"/>
    <n v="77"/>
    <x v="2"/>
    <x v="0"/>
    <x v="4"/>
  </r>
  <r>
    <x v="442"/>
    <x v="127"/>
    <x v="0"/>
    <n v="35"/>
    <x v="2"/>
    <x v="2"/>
    <s v="2021-10-25"/>
    <x v="7"/>
    <x v="438"/>
    <n v="11031"/>
    <n v="75"/>
    <x v="2"/>
    <x v="0"/>
    <x v="4"/>
  </r>
  <r>
    <x v="443"/>
    <x v="53"/>
    <x v="1"/>
    <n v="48"/>
    <x v="2"/>
    <x v="0"/>
    <s v="2019-11-11"/>
    <x v="4"/>
    <x v="439"/>
    <n v="5608"/>
    <n v="96"/>
    <x v="0"/>
    <x v="1"/>
    <x v="2"/>
  </r>
  <r>
    <x v="444"/>
    <x v="123"/>
    <x v="1"/>
    <n v="25"/>
    <x v="4"/>
    <x v="0"/>
    <s v="2022-02-13"/>
    <x v="12"/>
    <x v="440"/>
    <n v="17533"/>
    <n v="96"/>
    <x v="2"/>
    <x v="0"/>
    <x v="1"/>
  </r>
  <r>
    <x v="445"/>
    <x v="126"/>
    <x v="0"/>
    <n v="43"/>
    <x v="2"/>
    <x v="4"/>
    <s v="2024-01-28"/>
    <x v="8"/>
    <x v="441"/>
    <n v="5345"/>
    <n v="92"/>
    <x v="1"/>
    <x v="0"/>
    <x v="0"/>
  </r>
  <r>
    <x v="446"/>
    <x v="2"/>
    <x v="1"/>
    <n v="31"/>
    <x v="2"/>
    <x v="6"/>
    <s v="2022-12-29"/>
    <x v="7"/>
    <x v="442"/>
    <n v="7917"/>
    <n v="94"/>
    <x v="1"/>
    <x v="0"/>
    <x v="0"/>
  </r>
  <r>
    <x v="447"/>
    <x v="60"/>
    <x v="0"/>
    <n v="42"/>
    <x v="3"/>
    <x v="6"/>
    <s v="2020-01-03"/>
    <x v="13"/>
    <x v="443"/>
    <n v="5814"/>
    <n v="87"/>
    <x v="2"/>
    <x v="0"/>
    <x v="0"/>
  </r>
  <r>
    <x v="448"/>
    <x v="135"/>
    <x v="0"/>
    <n v="29"/>
    <x v="3"/>
    <x v="0"/>
    <s v="2018-05-20"/>
    <x v="1"/>
    <x v="444"/>
    <n v="8474"/>
    <n v="89"/>
    <x v="3"/>
    <x v="0"/>
    <x v="0"/>
  </r>
  <r>
    <x v="449"/>
    <x v="59"/>
    <x v="0"/>
    <n v="24"/>
    <x v="5"/>
    <x v="6"/>
    <s v="2023-09-19"/>
    <x v="0"/>
    <x v="445"/>
    <n v="10707"/>
    <n v="83"/>
    <x v="0"/>
    <x v="0"/>
    <x v="4"/>
  </r>
  <r>
    <x v="450"/>
    <x v="45"/>
    <x v="0"/>
    <n v="29"/>
    <x v="5"/>
    <x v="3"/>
    <s v="2020-11-19"/>
    <x v="4"/>
    <x v="446"/>
    <n v="13242"/>
    <n v="82"/>
    <x v="0"/>
    <x v="0"/>
    <x v="3"/>
  </r>
  <r>
    <x v="451"/>
    <x v="151"/>
    <x v="0"/>
    <n v="39"/>
    <x v="3"/>
    <x v="4"/>
    <s v="2023-01-10"/>
    <x v="9"/>
    <x v="447"/>
    <n v="9490"/>
    <n v="82"/>
    <x v="2"/>
    <x v="0"/>
    <x v="2"/>
  </r>
  <r>
    <x v="452"/>
    <x v="95"/>
    <x v="1"/>
    <n v="43"/>
    <x v="1"/>
    <x v="1"/>
    <s v="2018-09-27"/>
    <x v="6"/>
    <x v="448"/>
    <n v="10052"/>
    <n v="100"/>
    <x v="2"/>
    <x v="0"/>
    <x v="4"/>
  </r>
  <r>
    <x v="453"/>
    <x v="40"/>
    <x v="0"/>
    <n v="47"/>
    <x v="5"/>
    <x v="3"/>
    <s v="2019-07-03"/>
    <x v="0"/>
    <x v="449"/>
    <n v="18931"/>
    <n v="91"/>
    <x v="0"/>
    <x v="1"/>
    <x v="2"/>
  </r>
  <r>
    <x v="454"/>
    <x v="93"/>
    <x v="1"/>
    <n v="34"/>
    <x v="2"/>
    <x v="5"/>
    <s v="2023-05-19"/>
    <x v="3"/>
    <x v="450"/>
    <n v="4652"/>
    <n v="88"/>
    <x v="3"/>
    <x v="0"/>
    <x v="2"/>
  </r>
  <r>
    <x v="455"/>
    <x v="141"/>
    <x v="0"/>
    <n v="49"/>
    <x v="1"/>
    <x v="3"/>
    <s v="2022-11-10"/>
    <x v="14"/>
    <x v="451"/>
    <n v="9080"/>
    <n v="94"/>
    <x v="0"/>
    <x v="1"/>
    <x v="3"/>
  </r>
  <r>
    <x v="456"/>
    <x v="28"/>
    <x v="1"/>
    <n v="46"/>
    <x v="0"/>
    <x v="6"/>
    <s v="2022-03-05"/>
    <x v="3"/>
    <x v="452"/>
    <n v="3902"/>
    <n v="97"/>
    <x v="0"/>
    <x v="1"/>
    <x v="1"/>
  </r>
  <r>
    <x v="457"/>
    <x v="135"/>
    <x v="0"/>
    <n v="42"/>
    <x v="2"/>
    <x v="0"/>
    <s v="2024-02-24"/>
    <x v="5"/>
    <x v="453"/>
    <n v="10285"/>
    <n v="88"/>
    <x v="1"/>
    <x v="0"/>
    <x v="1"/>
  </r>
  <r>
    <x v="458"/>
    <x v="129"/>
    <x v="1"/>
    <n v="22"/>
    <x v="0"/>
    <x v="6"/>
    <s v="2024-07-03"/>
    <x v="0"/>
    <x v="454"/>
    <n v="8216"/>
    <n v="99"/>
    <x v="3"/>
    <x v="0"/>
    <x v="3"/>
  </r>
  <r>
    <x v="459"/>
    <x v="68"/>
    <x v="0"/>
    <n v="23"/>
    <x v="0"/>
    <x v="1"/>
    <s v="2025-10-06"/>
    <x v="15"/>
    <x v="455"/>
    <n v="8404"/>
    <n v="94"/>
    <x v="1"/>
    <x v="0"/>
    <x v="3"/>
  </r>
  <r>
    <x v="460"/>
    <x v="17"/>
    <x v="0"/>
    <n v="33"/>
    <x v="4"/>
    <x v="6"/>
    <s v="2020-12-13"/>
    <x v="2"/>
    <x v="456"/>
    <n v="4485"/>
    <n v="76"/>
    <x v="1"/>
    <x v="0"/>
    <x v="1"/>
  </r>
  <r>
    <x v="461"/>
    <x v="123"/>
    <x v="1"/>
    <n v="48"/>
    <x v="0"/>
    <x v="3"/>
    <s v="2019-11-18"/>
    <x v="7"/>
    <x v="457"/>
    <n v="4674"/>
    <n v="98"/>
    <x v="1"/>
    <x v="0"/>
    <x v="3"/>
  </r>
  <r>
    <x v="462"/>
    <x v="150"/>
    <x v="1"/>
    <n v="23"/>
    <x v="2"/>
    <x v="0"/>
    <s v="2024-07-13"/>
    <x v="2"/>
    <x v="458"/>
    <n v="14742"/>
    <n v="80"/>
    <x v="3"/>
    <x v="0"/>
    <x v="2"/>
  </r>
  <r>
    <x v="463"/>
    <x v="65"/>
    <x v="0"/>
    <n v="45"/>
    <x v="4"/>
    <x v="4"/>
    <s v="2020-03-05"/>
    <x v="8"/>
    <x v="459"/>
    <n v="17875"/>
    <n v="98"/>
    <x v="2"/>
    <x v="0"/>
    <x v="2"/>
  </r>
  <r>
    <x v="464"/>
    <x v="152"/>
    <x v="1"/>
    <n v="50"/>
    <x v="0"/>
    <x v="4"/>
    <s v="2018-12-12"/>
    <x v="3"/>
    <x v="460"/>
    <n v="4970"/>
    <n v="82"/>
    <x v="2"/>
    <x v="0"/>
    <x v="1"/>
  </r>
  <r>
    <x v="465"/>
    <x v="138"/>
    <x v="1"/>
    <n v="43"/>
    <x v="2"/>
    <x v="2"/>
    <s v="2022-08-14"/>
    <x v="8"/>
    <x v="461"/>
    <n v="3704"/>
    <n v="98"/>
    <x v="1"/>
    <x v="0"/>
    <x v="0"/>
  </r>
  <r>
    <x v="466"/>
    <x v="76"/>
    <x v="1"/>
    <n v="41"/>
    <x v="4"/>
    <x v="5"/>
    <s v="2023-12-18"/>
    <x v="0"/>
    <x v="462"/>
    <n v="6181"/>
    <n v="97"/>
    <x v="2"/>
    <x v="0"/>
    <x v="2"/>
  </r>
  <r>
    <x v="467"/>
    <x v="47"/>
    <x v="0"/>
    <n v="25"/>
    <x v="1"/>
    <x v="0"/>
    <s v="2023-10-19"/>
    <x v="15"/>
    <x v="463"/>
    <n v="15070"/>
    <n v="90"/>
    <x v="2"/>
    <x v="0"/>
    <x v="2"/>
  </r>
  <r>
    <x v="468"/>
    <x v="147"/>
    <x v="1"/>
    <n v="25"/>
    <x v="0"/>
    <x v="1"/>
    <s v="2022-01-30"/>
    <x v="10"/>
    <x v="464"/>
    <n v="18979"/>
    <n v="91"/>
    <x v="3"/>
    <x v="0"/>
    <x v="1"/>
  </r>
  <r>
    <x v="469"/>
    <x v="36"/>
    <x v="0"/>
    <n v="50"/>
    <x v="4"/>
    <x v="1"/>
    <s v="2021-01-18"/>
    <x v="12"/>
    <x v="465"/>
    <n v="5876"/>
    <n v="85"/>
    <x v="1"/>
    <x v="0"/>
    <x v="1"/>
  </r>
  <r>
    <x v="470"/>
    <x v="49"/>
    <x v="1"/>
    <n v="25"/>
    <x v="2"/>
    <x v="5"/>
    <s v="2023-11-02"/>
    <x v="11"/>
    <x v="466"/>
    <n v="7798"/>
    <n v="81"/>
    <x v="0"/>
    <x v="0"/>
    <x v="4"/>
  </r>
  <r>
    <x v="471"/>
    <x v="125"/>
    <x v="1"/>
    <n v="24"/>
    <x v="4"/>
    <x v="5"/>
    <s v="2024-05-04"/>
    <x v="1"/>
    <x v="467"/>
    <n v="1577"/>
    <n v="95"/>
    <x v="3"/>
    <x v="0"/>
    <x v="1"/>
  </r>
  <r>
    <x v="472"/>
    <x v="50"/>
    <x v="1"/>
    <n v="38"/>
    <x v="0"/>
    <x v="0"/>
    <s v="2021-09-25"/>
    <x v="8"/>
    <x v="468"/>
    <n v="11145"/>
    <n v="85"/>
    <x v="0"/>
    <x v="0"/>
    <x v="3"/>
  </r>
  <r>
    <x v="473"/>
    <x v="33"/>
    <x v="0"/>
    <n v="47"/>
    <x v="3"/>
    <x v="2"/>
    <s v="2023-08-15"/>
    <x v="14"/>
    <x v="469"/>
    <n v="3811"/>
    <n v="93"/>
    <x v="2"/>
    <x v="0"/>
    <x v="0"/>
  </r>
  <r>
    <x v="474"/>
    <x v="137"/>
    <x v="0"/>
    <n v="22"/>
    <x v="1"/>
    <x v="3"/>
    <s v="2024-09-30"/>
    <x v="15"/>
    <x v="470"/>
    <n v="21849"/>
    <n v="89"/>
    <x v="1"/>
    <x v="0"/>
    <x v="2"/>
  </r>
  <r>
    <x v="475"/>
    <x v="34"/>
    <x v="1"/>
    <n v="30"/>
    <x v="3"/>
    <x v="5"/>
    <s v="2023-06-22"/>
    <x v="2"/>
    <x v="471"/>
    <n v="3385"/>
    <n v="98"/>
    <x v="1"/>
    <x v="0"/>
    <x v="4"/>
  </r>
  <r>
    <x v="476"/>
    <x v="134"/>
    <x v="0"/>
    <n v="42"/>
    <x v="2"/>
    <x v="1"/>
    <s v="2025-01-06"/>
    <x v="12"/>
    <x v="472"/>
    <n v="9259"/>
    <n v="91"/>
    <x v="3"/>
    <x v="0"/>
    <x v="1"/>
  </r>
  <r>
    <x v="477"/>
    <x v="133"/>
    <x v="1"/>
    <n v="42"/>
    <x v="0"/>
    <x v="0"/>
    <s v="2024-04-25"/>
    <x v="14"/>
    <x v="473"/>
    <n v="2671"/>
    <n v="81"/>
    <x v="2"/>
    <x v="0"/>
    <x v="3"/>
  </r>
  <r>
    <x v="478"/>
    <x v="101"/>
    <x v="0"/>
    <n v="25"/>
    <x v="1"/>
    <x v="5"/>
    <s v="2019-11-27"/>
    <x v="10"/>
    <x v="474"/>
    <n v="15277"/>
    <n v="97"/>
    <x v="2"/>
    <x v="0"/>
    <x v="1"/>
  </r>
  <r>
    <x v="479"/>
    <x v="80"/>
    <x v="1"/>
    <n v="35"/>
    <x v="5"/>
    <x v="0"/>
    <s v="2023-02-26"/>
    <x v="13"/>
    <x v="475"/>
    <n v="2080"/>
    <n v="89"/>
    <x v="2"/>
    <x v="0"/>
    <x v="1"/>
  </r>
  <r>
    <x v="480"/>
    <x v="144"/>
    <x v="1"/>
    <n v="29"/>
    <x v="5"/>
    <x v="4"/>
    <s v="2025-12-16"/>
    <x v="2"/>
    <x v="476"/>
    <n v="8300"/>
    <n v="77"/>
    <x v="1"/>
    <x v="0"/>
    <x v="2"/>
  </r>
  <r>
    <x v="481"/>
    <x v="17"/>
    <x v="1"/>
    <n v="39"/>
    <x v="2"/>
    <x v="1"/>
    <s v="2022-07-10"/>
    <x v="13"/>
    <x v="477"/>
    <n v="5244"/>
    <n v="76"/>
    <x v="0"/>
    <x v="0"/>
    <x v="4"/>
  </r>
  <r>
    <x v="482"/>
    <x v="118"/>
    <x v="1"/>
    <n v="49"/>
    <x v="5"/>
    <x v="0"/>
    <s v="2020-04-17"/>
    <x v="11"/>
    <x v="478"/>
    <n v="3511"/>
    <n v="79"/>
    <x v="0"/>
    <x v="0"/>
    <x v="2"/>
  </r>
  <r>
    <x v="483"/>
    <x v="42"/>
    <x v="1"/>
    <n v="31"/>
    <x v="1"/>
    <x v="1"/>
    <s v="2018-08-21"/>
    <x v="5"/>
    <x v="479"/>
    <n v="4053"/>
    <n v="96"/>
    <x v="1"/>
    <x v="0"/>
    <x v="3"/>
  </r>
  <r>
    <x v="484"/>
    <x v="22"/>
    <x v="0"/>
    <n v="47"/>
    <x v="3"/>
    <x v="2"/>
    <s v="2025-01-01"/>
    <x v="0"/>
    <x v="480"/>
    <n v="9614"/>
    <n v="99"/>
    <x v="0"/>
    <x v="1"/>
    <x v="3"/>
  </r>
  <r>
    <x v="485"/>
    <x v="107"/>
    <x v="1"/>
    <n v="34"/>
    <x v="4"/>
    <x v="4"/>
    <s v="2025-04-05"/>
    <x v="6"/>
    <x v="481"/>
    <n v="4412"/>
    <n v="82"/>
    <x v="0"/>
    <x v="0"/>
    <x v="4"/>
  </r>
  <r>
    <x v="486"/>
    <x v="49"/>
    <x v="0"/>
    <n v="25"/>
    <x v="5"/>
    <x v="1"/>
    <s v="2022-03-04"/>
    <x v="4"/>
    <x v="482"/>
    <n v="3804"/>
    <n v="95"/>
    <x v="1"/>
    <x v="0"/>
    <x v="0"/>
  </r>
  <r>
    <x v="487"/>
    <x v="55"/>
    <x v="1"/>
    <n v="50"/>
    <x v="3"/>
    <x v="6"/>
    <s v="2019-06-05"/>
    <x v="8"/>
    <x v="483"/>
    <n v="4197"/>
    <n v="92"/>
    <x v="1"/>
    <x v="0"/>
    <x v="3"/>
  </r>
  <r>
    <x v="488"/>
    <x v="124"/>
    <x v="1"/>
    <n v="45"/>
    <x v="1"/>
    <x v="5"/>
    <s v="2022-03-21"/>
    <x v="12"/>
    <x v="484"/>
    <n v="21199"/>
    <n v="83"/>
    <x v="3"/>
    <x v="0"/>
    <x v="2"/>
  </r>
  <r>
    <x v="489"/>
    <x v="81"/>
    <x v="1"/>
    <n v="42"/>
    <x v="0"/>
    <x v="1"/>
    <s v="2018-01-17"/>
    <x v="4"/>
    <x v="485"/>
    <n v="22381"/>
    <n v="91"/>
    <x v="2"/>
    <x v="0"/>
    <x v="0"/>
  </r>
  <r>
    <x v="490"/>
    <x v="108"/>
    <x v="1"/>
    <n v="39"/>
    <x v="3"/>
    <x v="4"/>
    <s v="2022-04-19"/>
    <x v="5"/>
    <x v="486"/>
    <n v="18520"/>
    <n v="84"/>
    <x v="0"/>
    <x v="0"/>
    <x v="2"/>
  </r>
  <r>
    <x v="491"/>
    <x v="8"/>
    <x v="0"/>
    <n v="32"/>
    <x v="1"/>
    <x v="0"/>
    <s v="2019-03-10"/>
    <x v="2"/>
    <x v="487"/>
    <n v="14978"/>
    <n v="98"/>
    <x v="3"/>
    <x v="0"/>
    <x v="0"/>
  </r>
  <r>
    <x v="492"/>
    <x v="134"/>
    <x v="1"/>
    <n v="47"/>
    <x v="5"/>
    <x v="3"/>
    <s v="2021-04-03"/>
    <x v="5"/>
    <x v="488"/>
    <n v="5992"/>
    <n v="83"/>
    <x v="2"/>
    <x v="0"/>
    <x v="4"/>
  </r>
  <r>
    <x v="493"/>
    <x v="33"/>
    <x v="0"/>
    <n v="44"/>
    <x v="3"/>
    <x v="2"/>
    <s v="2025-05-10"/>
    <x v="15"/>
    <x v="489"/>
    <n v="6994"/>
    <n v="80"/>
    <x v="0"/>
    <x v="0"/>
    <x v="3"/>
  </r>
  <r>
    <x v="494"/>
    <x v="150"/>
    <x v="1"/>
    <n v="36"/>
    <x v="4"/>
    <x v="4"/>
    <s v="2022-05-14"/>
    <x v="6"/>
    <x v="490"/>
    <n v="18004"/>
    <n v="96"/>
    <x v="0"/>
    <x v="1"/>
    <x v="1"/>
  </r>
  <r>
    <x v="495"/>
    <x v="101"/>
    <x v="0"/>
    <n v="32"/>
    <x v="0"/>
    <x v="3"/>
    <s v="2022-08-03"/>
    <x v="11"/>
    <x v="491"/>
    <n v="4981"/>
    <n v="89"/>
    <x v="2"/>
    <x v="0"/>
    <x v="0"/>
  </r>
  <r>
    <x v="496"/>
    <x v="100"/>
    <x v="1"/>
    <n v="32"/>
    <x v="0"/>
    <x v="5"/>
    <s v="2018-10-24"/>
    <x v="7"/>
    <x v="492"/>
    <n v="9616"/>
    <n v="100"/>
    <x v="1"/>
    <x v="0"/>
    <x v="1"/>
  </r>
  <r>
    <x v="497"/>
    <x v="93"/>
    <x v="1"/>
    <n v="35"/>
    <x v="3"/>
    <x v="1"/>
    <s v="2024-05-16"/>
    <x v="6"/>
    <x v="493"/>
    <n v="13857"/>
    <n v="96"/>
    <x v="0"/>
    <x v="1"/>
    <x v="2"/>
  </r>
  <r>
    <x v="498"/>
    <x v="22"/>
    <x v="0"/>
    <n v="44"/>
    <x v="4"/>
    <x v="5"/>
    <s v="2024-09-05"/>
    <x v="0"/>
    <x v="494"/>
    <n v="16359"/>
    <n v="85"/>
    <x v="1"/>
    <x v="0"/>
    <x v="0"/>
  </r>
  <r>
    <x v="499"/>
    <x v="59"/>
    <x v="1"/>
    <n v="35"/>
    <x v="2"/>
    <x v="2"/>
    <s v="2020-03-19"/>
    <x v="9"/>
    <x v="495"/>
    <n v="3906"/>
    <n v="96"/>
    <x v="0"/>
    <x v="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0F6077-6764-4925-812C-D239D5BBEF80}" name="performence 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K7" firstHeaderRow="1" firstDataRow="1" firstDataCol="1"/>
  <pivotFields count="14">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3">
        <item x="0"/>
        <item x="1"/>
        <item t="default"/>
      </items>
    </pivotField>
    <pivotField showAll="0"/>
    <pivotField showAll="0">
      <items count="7">
        <item x="0"/>
        <item x="5"/>
        <item x="1"/>
        <item x="2"/>
        <item x="3"/>
        <item x="4"/>
        <item t="default"/>
      </items>
    </pivotField>
    <pivotField showAll="0"/>
    <pivotField showAll="0"/>
    <pivotField showAll="0">
      <items count="8">
        <item x="0"/>
        <item x="1"/>
        <item x="2"/>
        <item x="3"/>
        <item x="4"/>
        <item x="5"/>
        <item x="6"/>
        <item t="default"/>
      </items>
    </pivotField>
    <pivotField showAll="0"/>
    <pivotField showAll="0"/>
    <pivotField showAll="0"/>
    <pivotField axis="axisRow" showAll="0">
      <items count="5">
        <item x="2"/>
        <item x="0"/>
        <item x="1"/>
        <item x="3"/>
        <item t="default"/>
      </items>
    </pivotField>
    <pivotField showAll="0"/>
    <pivotField showAll="0">
      <items count="6">
        <item x="2"/>
        <item x="0"/>
        <item x="4"/>
        <item x="1"/>
        <item x="3"/>
        <item t="default"/>
      </items>
    </pivotField>
  </pivotFields>
  <rowFields count="1">
    <field x="11"/>
  </rowFields>
  <rowItems count="5">
    <i>
      <x/>
    </i>
    <i>
      <x v="1"/>
    </i>
    <i>
      <x v="2"/>
    </i>
    <i>
      <x v="3"/>
    </i>
    <i t="grand">
      <x/>
    </i>
  </rowItems>
  <colItems count="1">
    <i/>
  </colItems>
  <dataFields count="1">
    <dataField name="Count of Employee_ID" fld="0" subtotal="count" baseField="0" baseItem="0"/>
  </dataFields>
  <formats count="6">
    <format dxfId="5">
      <pivotArea type="all" dataOnly="0" outline="0" fieldPosition="0"/>
    </format>
    <format dxfId="4">
      <pivotArea outline="0" collapsedLevelsAreSubtotals="1" fieldPosition="0"/>
    </format>
    <format dxfId="3">
      <pivotArea field="11" type="button" dataOnly="0" labelOnly="1" outline="0" axis="axisRow" fieldPosition="0"/>
    </format>
    <format dxfId="2">
      <pivotArea dataOnly="0" labelOnly="1" fieldPosition="0">
        <references count="1">
          <reference field="11" count="0"/>
        </references>
      </pivotArea>
    </format>
    <format dxfId="1">
      <pivotArea dataOnly="0" labelOnly="1" grandRow="1" outline="0" fieldPosition="0"/>
    </format>
    <format dxfId="0">
      <pivotArea dataOnly="0" labelOnly="1" outline="0" axis="axisValues"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48CE39-E0B9-42A3-BDF1-D9FB5207E79B}" name="Gender 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2:H5" firstHeaderRow="1" firstDataRow="1" firstDataCol="1"/>
  <pivotFields count="14">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Row" showAll="0">
      <items count="3">
        <item x="0"/>
        <item x="1"/>
        <item t="default"/>
      </items>
    </pivotField>
    <pivotField showAll="0"/>
    <pivotField showAll="0">
      <items count="7">
        <item x="0"/>
        <item x="5"/>
        <item x="1"/>
        <item x="2"/>
        <item x="3"/>
        <item x="4"/>
        <item t="default"/>
      </items>
    </pivotField>
    <pivotField showAll="0"/>
    <pivotField showAll="0"/>
    <pivotField showAll="0">
      <items count="8">
        <item x="0"/>
        <item x="1"/>
        <item x="2"/>
        <item x="3"/>
        <item x="4"/>
        <item x="5"/>
        <item x="6"/>
        <item t="default"/>
      </items>
    </pivotField>
    <pivotField showAll="0"/>
    <pivotField showAll="0"/>
    <pivotField showAll="0"/>
    <pivotField showAll="0"/>
    <pivotField showAll="0"/>
    <pivotField showAll="0">
      <items count="6">
        <item x="2"/>
        <item x="0"/>
        <item x="4"/>
        <item x="1"/>
        <item x="3"/>
        <item t="default"/>
      </items>
    </pivotField>
  </pivotFields>
  <rowFields count="1">
    <field x="2"/>
  </rowFields>
  <rowItems count="3">
    <i>
      <x/>
    </i>
    <i>
      <x v="1"/>
    </i>
    <i t="grand">
      <x/>
    </i>
  </rowItems>
  <colItems count="1">
    <i/>
  </colItems>
  <dataFields count="1">
    <dataField name="Count of Employee_ID" fld="0" subtotal="count" baseField="0" baseItem="0"/>
  </dataFields>
  <formats count="6">
    <format dxfId="11">
      <pivotArea type="all" dataOnly="0" outline="0" fieldPosition="0"/>
    </format>
    <format dxfId="10">
      <pivotArea outline="0" collapsedLevelsAreSubtotals="1" fieldPosition="0"/>
    </format>
    <format dxfId="9">
      <pivotArea field="2" type="button" dataOnly="0" labelOnly="1" outline="0" axis="axisRow" fieldPosition="0"/>
    </format>
    <format dxfId="8">
      <pivotArea dataOnly="0" labelOnly="1" fieldPosition="0">
        <references count="1">
          <reference field="2" count="0"/>
        </references>
      </pivotArea>
    </format>
    <format dxfId="7">
      <pivotArea dataOnly="0" labelOnly="1" grandRow="1" outline="0" fieldPosition="0"/>
    </format>
    <format dxfId="6">
      <pivotArea dataOnly="0" labelOnly="1" outline="0" axis="axisValues" fieldPosition="0"/>
    </format>
  </formats>
  <chartFormats count="3">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2" count="1" selected="0">
            <x v="0"/>
          </reference>
        </references>
      </pivotArea>
    </chartFormat>
    <chartFormat chart="9" format="4">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A6E2EA-6D0D-4290-9FE9-DDEE755EAB7A}" name="City wise employee 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20" firstHeaderRow="1" firstDataRow="1" firstDataCol="1"/>
  <pivotFields count="14">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3">
        <item x="0"/>
        <item x="1"/>
        <item t="default"/>
      </items>
    </pivotField>
    <pivotField showAll="0"/>
    <pivotField showAll="0">
      <items count="7">
        <item x="0"/>
        <item x="5"/>
        <item x="1"/>
        <item x="2"/>
        <item x="3"/>
        <item x="4"/>
        <item t="default"/>
      </items>
    </pivotField>
    <pivotField axis="axisRow" showAll="0">
      <items count="8">
        <item x="6"/>
        <item x="1"/>
        <item x="0"/>
        <item x="5"/>
        <item x="4"/>
        <item x="2"/>
        <item x="3"/>
        <item t="default"/>
      </items>
    </pivotField>
    <pivotField showAll="0"/>
    <pivotField showAll="0">
      <items count="8">
        <item x="0"/>
        <item x="1"/>
        <item x="2"/>
        <item x="3"/>
        <item x="4"/>
        <item x="5"/>
        <item x="6"/>
        <item t="default"/>
      </items>
    </pivotField>
    <pivotField showAll="0"/>
    <pivotField showAll="0"/>
    <pivotField showAll="0"/>
    <pivotField showAll="0"/>
    <pivotField showAll="0"/>
    <pivotField showAll="0">
      <items count="6">
        <item x="2"/>
        <item x="0"/>
        <item x="4"/>
        <item x="1"/>
        <item x="3"/>
        <item t="default"/>
      </items>
    </pivotField>
  </pivotFields>
  <rowFields count="1">
    <field x="5"/>
  </rowFields>
  <rowItems count="8">
    <i>
      <x/>
    </i>
    <i>
      <x v="1"/>
    </i>
    <i>
      <x v="2"/>
    </i>
    <i>
      <x v="3"/>
    </i>
    <i>
      <x v="4"/>
    </i>
    <i>
      <x v="5"/>
    </i>
    <i>
      <x v="6"/>
    </i>
    <i t="grand">
      <x/>
    </i>
  </rowItems>
  <colItems count="1">
    <i/>
  </colItems>
  <dataFields count="1">
    <dataField name="Count of Employee_ID" fld="0" subtotal="count" baseField="0" baseItem="0"/>
  </dataFields>
  <formats count="6">
    <format dxfId="17">
      <pivotArea type="all" dataOnly="0" outline="0" fieldPosition="0"/>
    </format>
    <format dxfId="16">
      <pivotArea outline="0" collapsedLevelsAreSubtotals="1" fieldPosition="0"/>
    </format>
    <format dxfId="15">
      <pivotArea field="5" type="button" dataOnly="0" labelOnly="1" outline="0" axis="axisRow" fieldPosition="0"/>
    </format>
    <format dxfId="14">
      <pivotArea dataOnly="0" labelOnly="1" fieldPosition="0">
        <references count="1">
          <reference field="5" count="0"/>
        </references>
      </pivotArea>
    </format>
    <format dxfId="13">
      <pivotArea dataOnly="0" labelOnly="1" grandRow="1" outline="0"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79D4C6-470B-490D-9A70-CFE9AA6129AC}" name="depth wise sal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B9" firstHeaderRow="1" firstDataRow="1" firstDataCol="1"/>
  <pivotFields count="14">
    <pivotField showAll="0"/>
    <pivotField showAll="0"/>
    <pivotField showAll="0">
      <items count="3">
        <item x="0"/>
        <item x="1"/>
        <item t="default"/>
      </items>
    </pivotField>
    <pivotField showAll="0"/>
    <pivotField axis="axisRow" showAll="0">
      <items count="7">
        <item x="0"/>
        <item x="5"/>
        <item x="1"/>
        <item x="2"/>
        <item x="3"/>
        <item x="4"/>
        <item t="default"/>
      </items>
    </pivotField>
    <pivotField showAll="0"/>
    <pivotField showAll="0"/>
    <pivotField showAll="0">
      <items count="8">
        <item x="0"/>
        <item x="1"/>
        <item x="2"/>
        <item x="3"/>
        <item x="4"/>
        <item x="5"/>
        <item x="6"/>
        <item t="default"/>
      </items>
    </pivotField>
    <pivotField dataField="1" showAll="0"/>
    <pivotField showAll="0"/>
    <pivotField showAll="0"/>
    <pivotField showAll="0"/>
    <pivotField showAll="0"/>
    <pivotField showAll="0">
      <items count="6">
        <item x="2"/>
        <item x="0"/>
        <item x="4"/>
        <item x="1"/>
        <item x="3"/>
        <item t="default"/>
      </items>
    </pivotField>
  </pivotFields>
  <rowFields count="1">
    <field x="4"/>
  </rowFields>
  <rowItems count="7">
    <i>
      <x/>
    </i>
    <i>
      <x v="1"/>
    </i>
    <i>
      <x v="2"/>
    </i>
    <i>
      <x v="3"/>
    </i>
    <i>
      <x v="4"/>
    </i>
    <i>
      <x v="5"/>
    </i>
    <i t="grand">
      <x/>
    </i>
  </rowItems>
  <colItems count="1">
    <i/>
  </colItems>
  <dataFields count="1">
    <dataField name="Sum of Salary" fld="8" baseField="0" baseItem="0"/>
  </dataFields>
  <formats count="6">
    <format dxfId="23">
      <pivotArea type="all" dataOnly="0" outline="0" fieldPosition="0"/>
    </format>
    <format dxfId="22">
      <pivotArea outline="0" collapsedLevelsAreSubtotals="1" fieldPosition="0"/>
    </format>
    <format dxfId="21">
      <pivotArea field="4" type="button" dataOnly="0" labelOnly="1" outline="0" axis="axisRow" fieldPosition="0"/>
    </format>
    <format dxfId="20">
      <pivotArea dataOnly="0" labelOnly="1" fieldPosition="0">
        <references count="1">
          <reference field="4" count="0"/>
        </references>
      </pivotArea>
    </format>
    <format dxfId="19">
      <pivotArea dataOnly="0" labelOnly="1" grandRow="1" outline="0" fieldPosition="0"/>
    </format>
    <format dxfId="18">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9E817D-FD75-4220-9A59-BDBF4E6A69C1}" name="city wiseemployee count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2:K20" firstHeaderRow="1" firstDataRow="1" firstDataCol="1"/>
  <pivotFields count="14">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3">
        <item x="0"/>
        <item x="1"/>
        <item t="default"/>
      </items>
    </pivotField>
    <pivotField showAll="0"/>
    <pivotField showAll="0">
      <items count="7">
        <item x="0"/>
        <item x="5"/>
        <item x="1"/>
        <item x="2"/>
        <item x="3"/>
        <item x="4"/>
        <item t="default"/>
      </items>
    </pivotField>
    <pivotField axis="axisRow" showAll="0">
      <items count="8">
        <item x="6"/>
        <item x="1"/>
        <item x="0"/>
        <item x="5"/>
        <item x="4"/>
        <item x="2"/>
        <item x="3"/>
        <item t="default"/>
      </items>
    </pivotField>
    <pivotField showAll="0"/>
    <pivotField showAll="0">
      <items count="8">
        <item x="0"/>
        <item x="1"/>
        <item x="2"/>
        <item x="3"/>
        <item x="4"/>
        <item x="5"/>
        <item x="6"/>
        <item t="default"/>
      </items>
    </pivotField>
    <pivotField showAll="0"/>
    <pivotField showAll="0"/>
    <pivotField showAll="0"/>
    <pivotField showAll="0"/>
    <pivotField showAll="0"/>
    <pivotField showAll="0">
      <items count="6">
        <item x="2"/>
        <item x="0"/>
        <item x="4"/>
        <item x="1"/>
        <item x="3"/>
        <item t="default"/>
      </items>
    </pivotField>
  </pivotFields>
  <rowFields count="1">
    <field x="5"/>
  </rowFields>
  <rowItems count="8">
    <i>
      <x/>
    </i>
    <i>
      <x v="1"/>
    </i>
    <i>
      <x v="2"/>
    </i>
    <i>
      <x v="3"/>
    </i>
    <i>
      <x v="4"/>
    </i>
    <i>
      <x v="5"/>
    </i>
    <i>
      <x v="6"/>
    </i>
    <i t="grand">
      <x/>
    </i>
  </rowItems>
  <colItems count="1">
    <i/>
  </colItems>
  <dataFields count="1">
    <dataField name="Count of Employee_ID" fld="0" subtotal="count" baseField="0" baseItem="0"/>
  </dataFields>
  <formats count="6">
    <format dxfId="29">
      <pivotArea type="all" dataOnly="0" outline="0" fieldPosition="0"/>
    </format>
    <format dxfId="28">
      <pivotArea outline="0" collapsedLevelsAreSubtotals="1" fieldPosition="0"/>
    </format>
    <format dxfId="27">
      <pivotArea field="5" type="button" dataOnly="0" labelOnly="1" outline="0" axis="axisRow" fieldPosition="0"/>
    </format>
    <format dxfId="26">
      <pivotArea dataOnly="0" labelOnly="1" fieldPosition="0">
        <references count="1">
          <reference field="5" count="0"/>
        </references>
      </pivotArea>
    </format>
    <format dxfId="25">
      <pivotArea dataOnly="0" labelOnly="1" grandRow="1" outline="0" fieldPosition="0"/>
    </format>
    <format dxfId="24">
      <pivotArea dataOnly="0" labelOnly="1" outline="0" axis="axisValues"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AC531F-030C-4148-8949-52997CE50CE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3:B29" firstHeaderRow="1" firstDataRow="1" firstDataCol="1"/>
  <pivotFields count="14">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3">
        <item x="0"/>
        <item x="1"/>
        <item t="default"/>
      </items>
    </pivotField>
    <pivotField showAll="0"/>
    <pivotField showAll="0">
      <items count="7">
        <item x="0"/>
        <item x="5"/>
        <item x="1"/>
        <item x="2"/>
        <item x="3"/>
        <item x="4"/>
        <item t="default"/>
      </items>
    </pivotField>
    <pivotField showAll="0"/>
    <pivotField showAll="0"/>
    <pivotField axis="axisRow" showAll="0">
      <items count="8">
        <item x="0"/>
        <item x="1"/>
        <item x="2"/>
        <item x="3"/>
        <item x="4"/>
        <item x="5"/>
        <item x="6"/>
        <item t="default"/>
      </items>
    </pivotField>
    <pivotField showAll="0"/>
    <pivotField showAll="0"/>
    <pivotField showAll="0"/>
    <pivotField showAll="0"/>
    <pivotField showAll="0"/>
    <pivotField showAll="0">
      <items count="6">
        <item x="2"/>
        <item x="0"/>
        <item x="4"/>
        <item x="1"/>
        <item x="3"/>
        <item t="default"/>
      </items>
    </pivotField>
  </pivotFields>
  <rowFields count="1">
    <field x="7"/>
  </rowFields>
  <rowItems count="6">
    <i>
      <x v="1"/>
    </i>
    <i>
      <x v="2"/>
    </i>
    <i>
      <x v="3"/>
    </i>
    <i>
      <x v="4"/>
    </i>
    <i>
      <x v="5"/>
    </i>
    <i t="grand">
      <x/>
    </i>
  </rowItems>
  <colItems count="1">
    <i/>
  </colItems>
  <dataFields count="1">
    <dataField name="Count of Employee_ID" fld="0" subtotal="count" baseField="0" baseItem="0"/>
  </dataFields>
  <formats count="6">
    <format dxfId="35">
      <pivotArea type="all" dataOnly="0" outline="0" fieldPosition="0"/>
    </format>
    <format dxfId="34">
      <pivotArea outline="0" collapsedLevelsAreSubtotals="1" fieldPosition="0"/>
    </format>
    <format dxfId="33">
      <pivotArea field="7" type="button" dataOnly="0" labelOnly="1" outline="0" axis="axisRow" fieldPosition="0"/>
    </format>
    <format dxfId="32">
      <pivotArea dataOnly="0" labelOnly="1" fieldPosition="0">
        <references count="1">
          <reference field="7" count="5">
            <x v="1"/>
            <x v="2"/>
            <x v="3"/>
            <x v="4"/>
            <x v="5"/>
          </reference>
        </references>
      </pivotArea>
    </format>
    <format dxfId="31">
      <pivotArea dataOnly="0" labelOnly="1" grandRow="1" outline="0" fieldPosition="0"/>
    </format>
    <format dxfId="30">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DDE4F9-B689-4BA0-B7E7-A05E1D2BB617}" name="manager wise employee 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12:E18" firstHeaderRow="1" firstDataRow="1" firstDataCol="1"/>
  <pivotFields count="14">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3">
        <item x="0"/>
        <item x="1"/>
        <item t="default"/>
      </items>
    </pivotField>
    <pivotField showAll="0"/>
    <pivotField showAll="0">
      <items count="7">
        <item x="0"/>
        <item x="5"/>
        <item x="1"/>
        <item x="2"/>
        <item x="3"/>
        <item x="4"/>
        <item t="default"/>
      </items>
    </pivotField>
    <pivotField showAll="0"/>
    <pivotField showAll="0"/>
    <pivotField showAll="0">
      <items count="8">
        <item x="0"/>
        <item x="1"/>
        <item x="2"/>
        <item x="3"/>
        <item x="4"/>
        <item x="5"/>
        <item x="6"/>
        <item t="default"/>
      </items>
    </pivotField>
    <pivotField showAll="0">
      <items count="497">
        <item x="116"/>
        <item x="132"/>
        <item x="457"/>
        <item x="475"/>
        <item x="224"/>
        <item x="421"/>
        <item x="89"/>
        <item x="416"/>
        <item x="301"/>
        <item x="163"/>
        <item x="469"/>
        <item x="222"/>
        <item x="7"/>
        <item x="2"/>
        <item x="477"/>
        <item x="282"/>
        <item x="345"/>
        <item x="29"/>
        <item x="168"/>
        <item x="295"/>
        <item x="260"/>
        <item x="348"/>
        <item x="425"/>
        <item x="356"/>
        <item x="183"/>
        <item x="120"/>
        <item x="294"/>
        <item x="441"/>
        <item x="483"/>
        <item x="200"/>
        <item x="48"/>
        <item x="408"/>
        <item x="228"/>
        <item x="467"/>
        <item x="419"/>
        <item x="32"/>
        <item x="383"/>
        <item x="237"/>
        <item x="250"/>
        <item x="109"/>
        <item x="43"/>
        <item x="129"/>
        <item x="460"/>
        <item x="182"/>
        <item x="473"/>
        <item x="302"/>
        <item x="24"/>
        <item x="481"/>
        <item x="108"/>
        <item x="164"/>
        <item x="329"/>
        <item x="296"/>
        <item x="304"/>
        <item x="310"/>
        <item x="437"/>
        <item x="169"/>
        <item x="285"/>
        <item x="13"/>
        <item x="428"/>
        <item x="210"/>
        <item x="117"/>
        <item x="239"/>
        <item x="221"/>
        <item x="160"/>
        <item x="241"/>
        <item x="17"/>
        <item x="31"/>
        <item x="307"/>
        <item x="82"/>
        <item x="50"/>
        <item x="365"/>
        <item x="8"/>
        <item x="122"/>
        <item x="364"/>
        <item x="321"/>
        <item x="443"/>
        <item x="26"/>
        <item x="149"/>
        <item x="91"/>
        <item x="354"/>
        <item x="143"/>
        <item x="319"/>
        <item x="333"/>
        <item x="90"/>
        <item x="0"/>
        <item x="22"/>
        <item x="80"/>
        <item x="63"/>
        <item x="489"/>
        <item x="461"/>
        <item x="99"/>
        <item x="316"/>
        <item x="148"/>
        <item x="283"/>
        <item x="62"/>
        <item x="44"/>
        <item x="47"/>
        <item x="323"/>
        <item x="287"/>
        <item x="81"/>
        <item x="127"/>
        <item x="18"/>
        <item x="177"/>
        <item x="214"/>
        <item x="76"/>
        <item x="207"/>
        <item x="27"/>
        <item x="130"/>
        <item x="118"/>
        <item x="315"/>
        <item x="256"/>
        <item x="230"/>
        <item x="98"/>
        <item x="212"/>
        <item x="322"/>
        <item x="326"/>
        <item x="28"/>
        <item x="131"/>
        <item x="258"/>
        <item x="77"/>
        <item x="174"/>
        <item x="298"/>
        <item x="452"/>
        <item x="60"/>
        <item x="162"/>
        <item x="358"/>
        <item x="495"/>
        <item x="342"/>
        <item x="436"/>
        <item x="265"/>
        <item x="156"/>
        <item x="363"/>
        <item x="404"/>
        <item x="491"/>
        <item x="186"/>
        <item x="456"/>
        <item x="144"/>
        <item x="424"/>
        <item x="401"/>
        <item x="247"/>
        <item x="374"/>
        <item x="466"/>
        <item x="67"/>
        <item x="176"/>
        <item x="347"/>
        <item x="451"/>
        <item x="269"/>
        <item x="445"/>
        <item x="10"/>
        <item x="75"/>
        <item x="482"/>
        <item x="433"/>
        <item x="16"/>
        <item x="488"/>
        <item x="324"/>
        <item x="161"/>
        <item x="271"/>
        <item x="334"/>
        <item x="23"/>
        <item x="173"/>
        <item x="429"/>
        <item x="93"/>
        <item x="431"/>
        <item x="39"/>
        <item x="276"/>
        <item x="166"/>
        <item x="328"/>
        <item x="346"/>
        <item x="115"/>
        <item x="248"/>
        <item x="391"/>
        <item x="318"/>
        <item x="398"/>
        <item x="352"/>
        <item x="478"/>
        <item x="306"/>
        <item x="373"/>
        <item x="112"/>
        <item x="380"/>
        <item x="414"/>
        <item x="70"/>
        <item x="434"/>
        <item x="455"/>
        <item x="312"/>
        <item x="427"/>
        <item x="371"/>
        <item x="442"/>
        <item x="171"/>
        <item x="292"/>
        <item x="178"/>
        <item x="438"/>
        <item x="462"/>
        <item x="110"/>
        <item x="56"/>
        <item x="137"/>
        <item x="165"/>
        <item x="341"/>
        <item x="145"/>
        <item x="14"/>
        <item x="390"/>
        <item x="216"/>
        <item x="235"/>
        <item x="189"/>
        <item x="420"/>
        <item x="139"/>
        <item x="15"/>
        <item x="206"/>
        <item x="51"/>
        <item x="223"/>
        <item x="422"/>
        <item x="147"/>
        <item x="331"/>
        <item x="106"/>
        <item x="405"/>
        <item x="244"/>
        <item x="229"/>
        <item x="471"/>
        <item x="275"/>
        <item x="187"/>
        <item x="107"/>
        <item x="372"/>
        <item x="55"/>
        <item x="97"/>
        <item x="335"/>
        <item x="337"/>
        <item x="124"/>
        <item x="369"/>
        <item x="33"/>
        <item x="102"/>
        <item x="88"/>
        <item x="71"/>
        <item x="190"/>
        <item x="87"/>
        <item x="52"/>
        <item x="37"/>
        <item x="159"/>
        <item x="158"/>
        <item x="330"/>
        <item x="157"/>
        <item x="395"/>
        <item x="313"/>
        <item x="412"/>
        <item x="141"/>
        <item x="480"/>
        <item x="279"/>
        <item x="417"/>
        <item x="12"/>
        <item x="231"/>
        <item x="389"/>
        <item x="311"/>
        <item x="203"/>
        <item x="123"/>
        <item x="476"/>
        <item x="246"/>
        <item x="266"/>
        <item x="245"/>
        <item x="220"/>
        <item x="155"/>
        <item x="192"/>
        <item x="114"/>
        <item x="79"/>
        <item x="450"/>
        <item x="225"/>
        <item x="36"/>
        <item x="251"/>
        <item x="393"/>
        <item x="104"/>
        <item x="399"/>
        <item x="359"/>
        <item x="226"/>
        <item x="453"/>
        <item x="370"/>
        <item x="3"/>
        <item x="92"/>
        <item x="209"/>
        <item x="378"/>
        <item x="289"/>
        <item x="492"/>
        <item x="361"/>
        <item x="72"/>
        <item x="128"/>
        <item x="243"/>
        <item x="58"/>
        <item x="54"/>
        <item x="479"/>
        <item x="211"/>
        <item x="368"/>
        <item x="85"/>
        <item x="154"/>
        <item x="305"/>
        <item x="105"/>
        <item x="435"/>
        <item x="343"/>
        <item x="396"/>
        <item x="111"/>
        <item x="219"/>
        <item x="308"/>
        <item x="152"/>
        <item x="261"/>
        <item x="400"/>
        <item x="314"/>
        <item x="61"/>
        <item x="236"/>
        <item x="11"/>
        <item x="465"/>
        <item x="385"/>
        <item x="472"/>
        <item x="255"/>
        <item x="278"/>
        <item x="213"/>
        <item x="430"/>
        <item x="42"/>
        <item x="100"/>
        <item x="113"/>
        <item x="253"/>
        <item x="49"/>
        <item x="290"/>
        <item x="344"/>
        <item x="180"/>
        <item x="172"/>
        <item x="227"/>
        <item x="387"/>
        <item x="121"/>
        <item x="73"/>
        <item x="446"/>
        <item x="415"/>
        <item x="20"/>
        <item x="38"/>
        <item x="30"/>
        <item x="280"/>
        <item x="135"/>
        <item x="153"/>
        <item x="351"/>
        <item x="181"/>
        <item x="384"/>
        <item x="140"/>
        <item x="402"/>
        <item x="134"/>
        <item x="494"/>
        <item x="325"/>
        <item x="25"/>
        <item x="146"/>
        <item x="340"/>
        <item x="406"/>
        <item x="377"/>
        <item x="68"/>
        <item x="74"/>
        <item x="196"/>
        <item x="375"/>
        <item x="284"/>
        <item x="65"/>
        <item x="458"/>
        <item x="136"/>
        <item x="486"/>
        <item x="468"/>
        <item x="376"/>
        <item x="272"/>
        <item x="487"/>
        <item x="208"/>
        <item x="242"/>
        <item x="277"/>
        <item x="66"/>
        <item x="240"/>
        <item x="350"/>
        <item x="232"/>
        <item x="444"/>
        <item x="268"/>
        <item x="217"/>
        <item x="126"/>
        <item x="218"/>
        <item x="83"/>
        <item x="267"/>
        <item x="327"/>
        <item x="474"/>
        <item x="418"/>
        <item x="103"/>
        <item x="355"/>
        <item x="263"/>
        <item x="366"/>
        <item x="299"/>
        <item x="367"/>
        <item x="101"/>
        <item x="353"/>
        <item x="199"/>
        <item x="195"/>
        <item x="142"/>
        <item x="185"/>
        <item x="262"/>
        <item x="234"/>
        <item x="362"/>
        <item x="238"/>
        <item x="432"/>
        <item x="184"/>
        <item x="125"/>
        <item x="19"/>
        <item x="202"/>
        <item x="293"/>
        <item x="94"/>
        <item x="410"/>
        <item x="281"/>
        <item x="259"/>
        <item x="133"/>
        <item x="257"/>
        <item x="349"/>
        <item x="179"/>
        <item x="264"/>
        <item x="57"/>
        <item x="270"/>
        <item x="6"/>
        <item x="274"/>
        <item x="426"/>
        <item x="205"/>
        <item x="201"/>
        <item x="46"/>
        <item x="249"/>
        <item x="197"/>
        <item x="254"/>
        <item x="291"/>
        <item x="198"/>
        <item x="297"/>
        <item x="86"/>
        <item x="138"/>
        <item x="339"/>
        <item x="447"/>
        <item x="5"/>
        <item x="233"/>
        <item x="379"/>
        <item x="175"/>
        <item x="388"/>
        <item x="357"/>
        <item x="1"/>
        <item x="409"/>
        <item x="150"/>
        <item x="463"/>
        <item x="204"/>
        <item x="273"/>
        <item x="411"/>
        <item x="69"/>
        <item x="423"/>
        <item x="194"/>
        <item x="41"/>
        <item x="215"/>
        <item x="470"/>
        <item x="360"/>
        <item x="288"/>
        <item x="338"/>
        <item x="4"/>
        <item x="252"/>
        <item x="151"/>
        <item x="286"/>
        <item x="320"/>
        <item x="300"/>
        <item x="397"/>
        <item x="303"/>
        <item x="484"/>
        <item x="448"/>
        <item x="170"/>
        <item x="53"/>
        <item x="439"/>
        <item x="119"/>
        <item x="21"/>
        <item x="413"/>
        <item x="490"/>
        <item x="191"/>
        <item x="78"/>
        <item x="332"/>
        <item x="309"/>
        <item x="95"/>
        <item x="96"/>
        <item x="84"/>
        <item x="167"/>
        <item x="9"/>
        <item x="336"/>
        <item x="40"/>
        <item x="45"/>
        <item x="493"/>
        <item x="188"/>
        <item x="59"/>
        <item x="403"/>
        <item x="317"/>
        <item x="382"/>
        <item x="407"/>
        <item x="440"/>
        <item x="35"/>
        <item x="454"/>
        <item x="193"/>
        <item x="485"/>
        <item x="386"/>
        <item x="449"/>
        <item x="464"/>
        <item x="34"/>
        <item x="459"/>
        <item x="392"/>
        <item x="64"/>
        <item x="394"/>
        <item x="381"/>
        <item t="default"/>
      </items>
    </pivotField>
    <pivotField showAll="0"/>
    <pivotField showAll="0"/>
    <pivotField showAll="0"/>
    <pivotField showAll="0">
      <items count="3">
        <item x="0"/>
        <item x="1"/>
        <item t="default"/>
      </items>
    </pivotField>
    <pivotField axis="axisRow" showAll="0">
      <items count="6">
        <item x="2"/>
        <item x="0"/>
        <item x="4"/>
        <item x="1"/>
        <item x="3"/>
        <item t="default"/>
      </items>
    </pivotField>
  </pivotFields>
  <rowFields count="1">
    <field x="13"/>
  </rowFields>
  <rowItems count="6">
    <i>
      <x/>
    </i>
    <i>
      <x v="1"/>
    </i>
    <i>
      <x v="2"/>
    </i>
    <i>
      <x v="3"/>
    </i>
    <i>
      <x v="4"/>
    </i>
    <i t="grand">
      <x/>
    </i>
  </rowItems>
  <colItems count="1">
    <i/>
  </colItems>
  <dataFields count="1">
    <dataField name="Count of Employee_ID" fld="0" subtotal="count" baseField="0" baseItem="0"/>
  </dataFields>
  <formats count="6">
    <format dxfId="41">
      <pivotArea type="all" dataOnly="0" outline="0" fieldPosition="0"/>
    </format>
    <format dxfId="40">
      <pivotArea outline="0" collapsedLevelsAreSubtotals="1" fieldPosition="0"/>
    </format>
    <format dxfId="39">
      <pivotArea field="13" type="button" dataOnly="0" labelOnly="1" outline="0" axis="axisRow" fieldPosition="0"/>
    </format>
    <format dxfId="38">
      <pivotArea dataOnly="0" labelOnly="1" fieldPosition="0">
        <references count="1">
          <reference field="13" count="0"/>
        </references>
      </pivotArea>
    </format>
    <format dxfId="37">
      <pivotArea dataOnly="0" labelOnly="1" grandRow="1" outline="0" fieldPosition="0"/>
    </format>
    <format dxfId="36">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78F6CC-BCC2-4DE4-8B2A-C86B32ADBE5F}" name="Pramotion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2:H15" firstHeaderRow="1" firstDataRow="1" firstDataCol="1"/>
  <pivotFields count="14">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3">
        <item x="0"/>
        <item x="1"/>
        <item t="default"/>
      </items>
    </pivotField>
    <pivotField showAll="0"/>
    <pivotField showAll="0">
      <items count="7">
        <item x="0"/>
        <item x="5"/>
        <item x="1"/>
        <item x="2"/>
        <item x="3"/>
        <item x="4"/>
        <item t="default"/>
      </items>
    </pivotField>
    <pivotField showAll="0"/>
    <pivotField showAll="0"/>
    <pivotField showAll="0">
      <items count="8">
        <item x="0"/>
        <item x="1"/>
        <item x="2"/>
        <item x="3"/>
        <item x="4"/>
        <item x="5"/>
        <item x="6"/>
        <item t="default"/>
      </items>
    </pivotField>
    <pivotField showAll="0"/>
    <pivotField showAll="0"/>
    <pivotField showAll="0"/>
    <pivotField showAll="0"/>
    <pivotField axis="axisRow" showAll="0">
      <items count="3">
        <item x="0"/>
        <item x="1"/>
        <item t="default"/>
      </items>
    </pivotField>
    <pivotField showAll="0">
      <items count="6">
        <item x="2"/>
        <item x="0"/>
        <item x="4"/>
        <item x="1"/>
        <item x="3"/>
        <item t="default"/>
      </items>
    </pivotField>
  </pivotFields>
  <rowFields count="1">
    <field x="12"/>
  </rowFields>
  <rowItems count="3">
    <i>
      <x/>
    </i>
    <i>
      <x v="1"/>
    </i>
    <i t="grand">
      <x/>
    </i>
  </rowItems>
  <colItems count="1">
    <i/>
  </colItems>
  <dataFields count="1">
    <dataField name="Count of Employee_ID" fld="0" subtotal="count" baseField="0" baseItem="0"/>
  </dataFields>
  <formats count="6">
    <format dxfId="47">
      <pivotArea type="all" dataOnly="0" outline="0" fieldPosition="0"/>
    </format>
    <format dxfId="46">
      <pivotArea outline="0" collapsedLevelsAreSubtotals="1" fieldPosition="0"/>
    </format>
    <format dxfId="45">
      <pivotArea field="12" type="button" dataOnly="0" labelOnly="1" outline="0" axis="axisRow" fieldPosition="0"/>
    </format>
    <format dxfId="44">
      <pivotArea dataOnly="0" labelOnly="1" fieldPosition="0">
        <references count="1">
          <reference field="12" count="0"/>
        </references>
      </pivotArea>
    </format>
    <format dxfId="43">
      <pivotArea dataOnly="0" labelOnly="1" grandRow="1" outline="0" fieldPosition="0"/>
    </format>
    <format dxfId="42">
      <pivotArea dataOnly="0" labelOnly="1" outline="0" axis="axisValues"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D0EE548-4CBD-46CB-9CDF-250E13EFAF49}" name="depth wise employee 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E9" firstHeaderRow="1" firstDataRow="1" firstDataCol="1"/>
  <pivotFields count="14">
    <pivotField showAll="0"/>
    <pivotField dataField="1" showAll="0">
      <items count="154">
        <item x="98"/>
        <item x="6"/>
        <item x="100"/>
        <item x="53"/>
        <item x="66"/>
        <item x="24"/>
        <item x="138"/>
        <item x="75"/>
        <item x="137"/>
        <item x="103"/>
        <item x="130"/>
        <item x="23"/>
        <item x="124"/>
        <item x="10"/>
        <item x="29"/>
        <item x="144"/>
        <item x="47"/>
        <item x="110"/>
        <item x="11"/>
        <item x="150"/>
        <item x="20"/>
        <item x="71"/>
        <item x="90"/>
        <item x="69"/>
        <item x="92"/>
        <item x="146"/>
        <item x="52"/>
        <item x="89"/>
        <item x="35"/>
        <item x="12"/>
        <item x="40"/>
        <item x="116"/>
        <item x="39"/>
        <item x="15"/>
        <item x="77"/>
        <item x="114"/>
        <item x="101"/>
        <item x="13"/>
        <item x="26"/>
        <item x="109"/>
        <item x="49"/>
        <item x="32"/>
        <item x="63"/>
        <item x="121"/>
        <item x="57"/>
        <item x="1"/>
        <item x="45"/>
        <item x="142"/>
        <item x="70"/>
        <item x="44"/>
        <item x="84"/>
        <item x="152"/>
        <item x="31"/>
        <item x="9"/>
        <item x="55"/>
        <item x="118"/>
        <item x="68"/>
        <item x="59"/>
        <item x="105"/>
        <item x="48"/>
        <item x="50"/>
        <item x="95"/>
        <item x="25"/>
        <item x="131"/>
        <item x="122"/>
        <item x="67"/>
        <item x="87"/>
        <item x="140"/>
        <item x="104"/>
        <item x="135"/>
        <item x="19"/>
        <item x="42"/>
        <item x="125"/>
        <item x="58"/>
        <item x="21"/>
        <item x="107"/>
        <item x="127"/>
        <item x="27"/>
        <item x="119"/>
        <item x="76"/>
        <item x="36"/>
        <item x="112"/>
        <item x="0"/>
        <item x="3"/>
        <item x="136"/>
        <item x="123"/>
        <item x="30"/>
        <item x="43"/>
        <item x="28"/>
        <item x="94"/>
        <item x="17"/>
        <item x="113"/>
        <item x="93"/>
        <item x="8"/>
        <item x="51"/>
        <item x="4"/>
        <item x="88"/>
        <item x="83"/>
        <item x="34"/>
        <item x="33"/>
        <item x="133"/>
        <item x="91"/>
        <item x="85"/>
        <item x="132"/>
        <item x="61"/>
        <item x="145"/>
        <item x="56"/>
        <item x="18"/>
        <item x="7"/>
        <item x="128"/>
        <item x="129"/>
        <item x="22"/>
        <item x="5"/>
        <item x="111"/>
        <item x="80"/>
        <item x="46"/>
        <item x="62"/>
        <item x="147"/>
        <item x="65"/>
        <item x="82"/>
        <item x="16"/>
        <item x="102"/>
        <item x="139"/>
        <item x="99"/>
        <item x="151"/>
        <item x="14"/>
        <item x="38"/>
        <item x="117"/>
        <item x="120"/>
        <item x="54"/>
        <item x="115"/>
        <item x="108"/>
        <item x="79"/>
        <item x="37"/>
        <item x="148"/>
        <item x="74"/>
        <item x="96"/>
        <item x="141"/>
        <item x="149"/>
        <item x="81"/>
        <item x="126"/>
        <item x="64"/>
        <item x="143"/>
        <item x="134"/>
        <item x="86"/>
        <item x="60"/>
        <item x="106"/>
        <item x="2"/>
        <item x="41"/>
        <item x="72"/>
        <item x="97"/>
        <item x="73"/>
        <item x="78"/>
        <item t="default"/>
      </items>
    </pivotField>
    <pivotField showAll="0">
      <items count="3">
        <item x="0"/>
        <item x="1"/>
        <item t="default"/>
      </items>
    </pivotField>
    <pivotField showAll="0"/>
    <pivotField axis="axisRow" showAll="0">
      <items count="7">
        <item x="0"/>
        <item x="5"/>
        <item x="1"/>
        <item x="2"/>
        <item x="3"/>
        <item x="4"/>
        <item t="default"/>
      </items>
    </pivotField>
    <pivotField showAll="0"/>
    <pivotField showAll="0"/>
    <pivotField showAll="0">
      <items count="8">
        <item x="0"/>
        <item x="1"/>
        <item x="2"/>
        <item x="3"/>
        <item x="4"/>
        <item x="5"/>
        <item x="6"/>
        <item t="default"/>
      </items>
    </pivotField>
    <pivotField showAll="0"/>
    <pivotField showAll="0"/>
    <pivotField showAll="0"/>
    <pivotField showAll="0"/>
    <pivotField showAll="0"/>
    <pivotField showAll="0">
      <items count="6">
        <item x="2"/>
        <item x="0"/>
        <item x="4"/>
        <item x="1"/>
        <item x="3"/>
        <item t="default"/>
      </items>
    </pivotField>
  </pivotFields>
  <rowFields count="1">
    <field x="4"/>
  </rowFields>
  <rowItems count="7">
    <i>
      <x/>
    </i>
    <i>
      <x v="1"/>
    </i>
    <i>
      <x v="2"/>
    </i>
    <i>
      <x v="3"/>
    </i>
    <i>
      <x v="4"/>
    </i>
    <i>
      <x v="5"/>
    </i>
    <i t="grand">
      <x/>
    </i>
  </rowItems>
  <colItems count="1">
    <i/>
  </colItems>
  <dataFields count="1">
    <dataField name="Count of Employee_Name" fld="1" subtotal="count" baseField="0" baseItem="0"/>
  </dataFields>
  <formats count="6">
    <format dxfId="53">
      <pivotArea type="all" dataOnly="0" outline="0" fieldPosition="0"/>
    </format>
    <format dxfId="52">
      <pivotArea outline="0" collapsedLevelsAreSubtotals="1" fieldPosition="0"/>
    </format>
    <format dxfId="51">
      <pivotArea field="4" type="button" dataOnly="0" labelOnly="1" outline="0" axis="axisRow" fieldPosition="0"/>
    </format>
    <format dxfId="50">
      <pivotArea dataOnly="0" labelOnly="1" fieldPosition="0">
        <references count="1">
          <reference field="4" count="0"/>
        </references>
      </pivotArea>
    </format>
    <format dxfId="49">
      <pivotArea dataOnly="0" labelOnly="1" grandRow="1" outline="0" fieldPosition="0"/>
    </format>
    <format dxfId="48">
      <pivotArea dataOnly="0" labelOnly="1" outline="0" axis="axisValues" fieldPosition="0"/>
    </format>
  </formats>
  <chartFormats count="1">
    <chartFormat chart="1"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716B515-CBCC-413D-9D54-DE2182017EB2}" sourceName="Department">
  <pivotTables>
    <pivotTable tabId="3" name="PivotTable1"/>
    <pivotTable tabId="3" name="City wise employee count"/>
    <pivotTable tabId="3" name="city wiseemployee count "/>
    <pivotTable tabId="3" name="depth wise employee count"/>
    <pivotTable tabId="3" name="depth wise salary"/>
    <pivotTable tabId="3" name="Gender distribution"/>
    <pivotTable tabId="3" name="manager wise employee count"/>
    <pivotTable tabId="3" name="performence rating"/>
    <pivotTable tabId="3" name="Pramotion status"/>
  </pivotTables>
  <data>
    <tabular pivotCacheId="520267263">
      <items count="6">
        <i x="0" s="1"/>
        <i x="5"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99EF3AB-3602-436F-85E6-26782AC3ABA0}" sourceName="Gender">
  <pivotTables>
    <pivotTable tabId="3" name="PivotTable1"/>
    <pivotTable tabId="3" name="City wise employee count"/>
    <pivotTable tabId="3" name="city wiseemployee count "/>
    <pivotTable tabId="3" name="depth wise employee count"/>
    <pivotTable tabId="3" name="depth wise salary"/>
    <pivotTable tabId="3" name="Gender distribution"/>
    <pivotTable tabId="3" name="manager wise employee count"/>
    <pivotTable tabId="3" name="performence rating"/>
    <pivotTable tabId="3" name="Pramotion status"/>
  </pivotTables>
  <data>
    <tabular pivotCacheId="52026726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_Name" xr10:uid="{30684F70-8C8F-4B60-A931-196479641873}" sourceName="Manager_Name">
  <pivotTables>
    <pivotTable tabId="3" name="depth wise employee count"/>
    <pivotTable tabId="3" name="City wise employee count"/>
    <pivotTable tabId="3" name="city wiseemployee count "/>
    <pivotTable tabId="3" name="depth wise salary"/>
    <pivotTable tabId="3" name="Gender distribution"/>
    <pivotTable tabId="3" name="manager wise employee count"/>
    <pivotTable tabId="3" name="performence rating"/>
    <pivotTable tabId="3" name="PivotTable1"/>
    <pivotTable tabId="3" name="Pramotion status"/>
  </pivotTables>
  <data>
    <tabular pivotCacheId="520267263">
      <items count="5">
        <i x="2" s="1"/>
        <i x="0" s="1"/>
        <i x="4"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651E34B-00A7-4BB7-B299-2D5A5F9451E3}" cache="Slicer_Department" caption="Department" style="SlicerStyleLight5" rowHeight="234950"/>
  <slicer name="Gender" xr10:uid="{C4DEB5BA-2301-4196-92C0-AC214942DAB7}" cache="Slicer_Gender" caption="Gender" style="SlicerStyleLight3" rowHeight="234950"/>
  <slicer name="Manager_Name" xr10:uid="{F02A099D-3838-4E2A-98AF-7FC7D20987D6}" cache="Slicer_Manager_Name" caption="Manager_Name"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ADF97E-E334-4AEF-90D8-F42EBC94FF78}" name="Table1" displayName="Table1" ref="P3:P4" totalsRowShown="0" headerRowDxfId="77" dataDxfId="75" headerRowBorderDxfId="76" tableBorderDxfId="74" totalsRowBorderDxfId="73">
  <tableColumns count="1">
    <tableColumn id="1" xr3:uid="{417E86BC-A82F-4170-84E8-6EFFD28B2677}" name="Column1" dataDxfId="7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9EFFC3-9A90-45BA-8CCE-2EE3997821F8}" name="Employee_Data" displayName="Employee_Data" ref="A1:N501" totalsRowShown="0" headerRowDxfId="71" headerRowBorderDxfId="70" tableBorderDxfId="69" totalsRowBorderDxfId="68">
  <autoFilter ref="A1:N501" xr:uid="{E89EFFC3-9A90-45BA-8CCE-2EE3997821F8}"/>
  <tableColumns count="14">
    <tableColumn id="1" xr3:uid="{F68AE7CF-9EEA-40CF-A1E1-55BC6C6610E4}" name="Employee_ID" dataDxfId="67"/>
    <tableColumn id="2" xr3:uid="{82855CC2-3431-4390-A191-99FA3F065365}" name="Employee_Name" dataDxfId="66"/>
    <tableColumn id="3" xr3:uid="{A51D7AC1-D2A1-41F8-98E3-044CF4CC916A}" name="Gender" dataDxfId="65"/>
    <tableColumn id="4" xr3:uid="{A3C8C00E-A7B4-40EA-923D-8B3CD12C9072}" name="Age" dataDxfId="64"/>
    <tableColumn id="5" xr3:uid="{62A658A6-CC22-40D5-9EB6-711D96116A5F}" name="Department" dataDxfId="63"/>
    <tableColumn id="6" xr3:uid="{064E6C28-E1F0-4B92-A386-413DDEB4D62F}" name="City" dataDxfId="62"/>
    <tableColumn id="7" xr3:uid="{575E1281-400C-4C36-B8AC-F4B67C66694E}" name="Joining_Date" dataDxfId="61"/>
    <tableColumn id="8" xr3:uid="{ECDE89D3-5457-47EE-BC2C-CF515BFEDAA5}" name="Experience_Years" dataDxfId="60"/>
    <tableColumn id="9" xr3:uid="{5C6BB002-7CC4-4B3E-BFA5-DD010E19453A}" name="Salary" dataDxfId="59"/>
    <tableColumn id="10" xr3:uid="{D7AAAE78-D957-4DA6-8180-9AA8B4E00853}" name="Bonus" dataDxfId="58"/>
    <tableColumn id="11" xr3:uid="{59BE7A29-36F2-49AB-97EA-5379C5133272}" name="Attendance_%" dataDxfId="57"/>
    <tableColumn id="12" xr3:uid="{13563ABA-282D-43C0-94FE-0D32C09EAFDD}" name="Performance_Rating" dataDxfId="56"/>
    <tableColumn id="13" xr3:uid="{48A12731-EDE8-48FA-9A09-0CDCB7FCB5F4}" name="Promotion_Status" dataDxfId="55"/>
    <tableColumn id="14" xr3:uid="{859814A8-7F7E-4681-B233-66E9F27D32E4}" name="Manager_Name" dataDxfId="5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1"/>
  <sheetViews>
    <sheetView topLeftCell="A2" workbookViewId="0">
      <selection activeCell="C6" sqref="C6"/>
    </sheetView>
  </sheetViews>
  <sheetFormatPr defaultRowHeight="14.4" x14ac:dyDescent="0.3"/>
  <cols>
    <col min="1" max="1" width="14" customWidth="1"/>
    <col min="2" max="2" width="17.21875" customWidth="1"/>
    <col min="3" max="3" width="9" customWidth="1"/>
    <col min="4" max="4" width="8.88671875" customWidth="1"/>
    <col min="5" max="5" width="13" customWidth="1"/>
    <col min="6" max="6" width="9.77734375" bestFit="1" customWidth="1"/>
    <col min="7" max="7" width="13.6640625" customWidth="1"/>
    <col min="8" max="8" width="17.44140625" customWidth="1"/>
    <col min="9" max="9" width="9.88671875" customWidth="1"/>
    <col min="10" max="10" width="9" customWidth="1"/>
    <col min="11" max="11" width="15.109375" customWidth="1"/>
    <col min="12" max="12" width="20.109375" customWidth="1"/>
    <col min="13" max="13" width="18.109375" customWidth="1"/>
    <col min="14" max="14" width="16.44140625" customWidth="1"/>
    <col min="16" max="16" width="10.44140625" customWidth="1"/>
  </cols>
  <sheetData>
    <row r="1" spans="1:16" x14ac:dyDescent="0.3">
      <c r="A1" s="7" t="s">
        <v>0</v>
      </c>
      <c r="B1" s="8" t="s">
        <v>1</v>
      </c>
      <c r="C1" s="8" t="s">
        <v>2</v>
      </c>
      <c r="D1" s="8" t="s">
        <v>3</v>
      </c>
      <c r="E1" s="8" t="s">
        <v>4</v>
      </c>
      <c r="F1" s="8" t="s">
        <v>5</v>
      </c>
      <c r="G1" s="8" t="s">
        <v>6</v>
      </c>
      <c r="H1" s="8" t="s">
        <v>7</v>
      </c>
      <c r="I1" s="8" t="s">
        <v>8</v>
      </c>
      <c r="J1" s="8" t="s">
        <v>9</v>
      </c>
      <c r="K1" s="8" t="s">
        <v>10</v>
      </c>
      <c r="L1" s="8" t="s">
        <v>11</v>
      </c>
      <c r="M1" s="8" t="s">
        <v>12</v>
      </c>
      <c r="N1" s="9" t="s">
        <v>13</v>
      </c>
    </row>
    <row r="2" spans="1:16" x14ac:dyDescent="0.3">
      <c r="A2" s="5" t="s">
        <v>14</v>
      </c>
      <c r="B2" s="1" t="s">
        <v>15</v>
      </c>
      <c r="C2" s="1" t="s">
        <v>16</v>
      </c>
      <c r="D2" s="1">
        <v>34</v>
      </c>
      <c r="E2" s="1" t="s">
        <v>17</v>
      </c>
      <c r="F2" s="1" t="s">
        <v>18</v>
      </c>
      <c r="G2" s="1" t="s">
        <v>19</v>
      </c>
      <c r="H2" s="1">
        <v>12</v>
      </c>
      <c r="I2" s="1">
        <v>40294</v>
      </c>
      <c r="J2" s="1">
        <v>3224</v>
      </c>
      <c r="K2" s="1">
        <v>75</v>
      </c>
      <c r="L2" s="1" t="s">
        <v>20</v>
      </c>
      <c r="M2" s="1" t="s">
        <v>21</v>
      </c>
      <c r="N2" s="6" t="s">
        <v>22</v>
      </c>
    </row>
    <row r="3" spans="1:16" x14ac:dyDescent="0.3">
      <c r="A3" s="5" t="s">
        <v>23</v>
      </c>
      <c r="B3" s="1" t="s">
        <v>24</v>
      </c>
      <c r="C3" s="1" t="s">
        <v>16</v>
      </c>
      <c r="D3" s="1">
        <v>38</v>
      </c>
      <c r="E3" s="1" t="s">
        <v>25</v>
      </c>
      <c r="F3" s="1" t="s">
        <v>26</v>
      </c>
      <c r="G3" s="1" t="s">
        <v>27</v>
      </c>
      <c r="H3" s="1">
        <v>11</v>
      </c>
      <c r="I3" s="1">
        <v>107034</v>
      </c>
      <c r="J3" s="1">
        <v>5352</v>
      </c>
      <c r="K3" s="1">
        <v>79</v>
      </c>
      <c r="L3" s="1" t="s">
        <v>20</v>
      </c>
      <c r="M3" s="1" t="s">
        <v>21</v>
      </c>
      <c r="N3" s="6" t="s">
        <v>28</v>
      </c>
      <c r="P3" s="2" t="s">
        <v>1143</v>
      </c>
    </row>
    <row r="4" spans="1:16" x14ac:dyDescent="0.3">
      <c r="A4" s="5" t="s">
        <v>29</v>
      </c>
      <c r="B4" s="1" t="s">
        <v>30</v>
      </c>
      <c r="C4" s="1" t="s">
        <v>31</v>
      </c>
      <c r="D4" s="1">
        <v>36</v>
      </c>
      <c r="E4" s="1" t="s">
        <v>32</v>
      </c>
      <c r="F4" s="1" t="s">
        <v>18</v>
      </c>
      <c r="G4" s="1" t="s">
        <v>33</v>
      </c>
      <c r="H4" s="1">
        <v>10</v>
      </c>
      <c r="I4" s="1">
        <v>27581</v>
      </c>
      <c r="J4" s="1">
        <v>4413</v>
      </c>
      <c r="K4" s="1">
        <v>78</v>
      </c>
      <c r="L4" s="1" t="s">
        <v>34</v>
      </c>
      <c r="M4" s="1" t="s">
        <v>21</v>
      </c>
      <c r="N4" s="6" t="s">
        <v>35</v>
      </c>
      <c r="P4" s="3"/>
    </row>
    <row r="5" spans="1:16" x14ac:dyDescent="0.3">
      <c r="A5" s="5" t="s">
        <v>36</v>
      </c>
      <c r="B5" s="1" t="s">
        <v>37</v>
      </c>
      <c r="C5" s="1" t="s">
        <v>16</v>
      </c>
      <c r="D5" s="1">
        <v>26</v>
      </c>
      <c r="E5" s="1" t="s">
        <v>38</v>
      </c>
      <c r="F5" s="1" t="s">
        <v>18</v>
      </c>
      <c r="G5" s="1" t="s">
        <v>39</v>
      </c>
      <c r="H5" s="1">
        <v>9</v>
      </c>
      <c r="I5" s="1">
        <v>79633</v>
      </c>
      <c r="J5" s="1">
        <v>7167</v>
      </c>
      <c r="K5" s="1">
        <v>79</v>
      </c>
      <c r="L5" s="1" t="s">
        <v>40</v>
      </c>
      <c r="M5" s="1" t="s">
        <v>21</v>
      </c>
      <c r="N5" s="6" t="s">
        <v>28</v>
      </c>
    </row>
    <row r="6" spans="1:16" x14ac:dyDescent="0.3">
      <c r="A6" s="5" t="s">
        <v>41</v>
      </c>
      <c r="B6" s="1" t="s">
        <v>42</v>
      </c>
      <c r="C6" s="1" t="s">
        <v>16</v>
      </c>
      <c r="D6" s="1">
        <v>29</v>
      </c>
      <c r="E6" s="1" t="s">
        <v>25</v>
      </c>
      <c r="F6" s="1" t="s">
        <v>18</v>
      </c>
      <c r="G6" s="1" t="s">
        <v>43</v>
      </c>
      <c r="H6" s="1">
        <v>15</v>
      </c>
      <c r="I6" s="1">
        <v>110395</v>
      </c>
      <c r="J6" s="1">
        <v>13247</v>
      </c>
      <c r="K6" s="1">
        <v>79</v>
      </c>
      <c r="L6" s="1" t="s">
        <v>40</v>
      </c>
      <c r="M6" s="1" t="s">
        <v>21</v>
      </c>
      <c r="N6" s="6" t="s">
        <v>44</v>
      </c>
    </row>
    <row r="7" spans="1:16" x14ac:dyDescent="0.3">
      <c r="A7" s="5" t="s">
        <v>45</v>
      </c>
      <c r="B7" s="1" t="s">
        <v>46</v>
      </c>
      <c r="C7" s="1" t="s">
        <v>31</v>
      </c>
      <c r="D7" s="1">
        <v>34</v>
      </c>
      <c r="E7" s="1" t="s">
        <v>47</v>
      </c>
      <c r="F7" s="1" t="s">
        <v>48</v>
      </c>
      <c r="G7" s="1" t="s">
        <v>49</v>
      </c>
      <c r="H7" s="1">
        <v>9</v>
      </c>
      <c r="I7" s="1">
        <v>105467</v>
      </c>
      <c r="J7" s="1">
        <v>17929</v>
      </c>
      <c r="K7" s="1">
        <v>93</v>
      </c>
      <c r="L7" s="1" t="s">
        <v>34</v>
      </c>
      <c r="M7" s="1" t="s">
        <v>21</v>
      </c>
      <c r="N7" s="6" t="s">
        <v>50</v>
      </c>
    </row>
    <row r="8" spans="1:16" x14ac:dyDescent="0.3">
      <c r="A8" s="5" t="s">
        <v>51</v>
      </c>
      <c r="B8" s="1" t="s">
        <v>52</v>
      </c>
      <c r="C8" s="1" t="s">
        <v>31</v>
      </c>
      <c r="D8" s="1">
        <v>46</v>
      </c>
      <c r="E8" s="1" t="s">
        <v>17</v>
      </c>
      <c r="F8" s="1" t="s">
        <v>26</v>
      </c>
      <c r="G8" s="1" t="s">
        <v>53</v>
      </c>
      <c r="H8" s="1">
        <v>2</v>
      </c>
      <c r="I8" s="1">
        <v>102946</v>
      </c>
      <c r="J8" s="1">
        <v>11324</v>
      </c>
      <c r="K8" s="1">
        <v>80</v>
      </c>
      <c r="L8" s="1" t="s">
        <v>34</v>
      </c>
      <c r="M8" s="1" t="s">
        <v>21</v>
      </c>
      <c r="N8" s="6" t="s">
        <v>35</v>
      </c>
    </row>
    <row r="9" spans="1:16" x14ac:dyDescent="0.3">
      <c r="A9" s="5" t="s">
        <v>54</v>
      </c>
      <c r="B9" s="1" t="s">
        <v>55</v>
      </c>
      <c r="C9" s="1" t="s">
        <v>16</v>
      </c>
      <c r="D9" s="1">
        <v>43</v>
      </c>
      <c r="E9" s="1" t="s">
        <v>17</v>
      </c>
      <c r="F9" s="1" t="s">
        <v>18</v>
      </c>
      <c r="G9" s="1" t="s">
        <v>56</v>
      </c>
      <c r="H9" s="1">
        <v>5</v>
      </c>
      <c r="I9" s="1">
        <v>27366</v>
      </c>
      <c r="J9" s="1">
        <v>2189</v>
      </c>
      <c r="K9" s="1">
        <v>93</v>
      </c>
      <c r="L9" s="1" t="s">
        <v>34</v>
      </c>
      <c r="M9" s="1" t="s">
        <v>21</v>
      </c>
      <c r="N9" s="6" t="s">
        <v>50</v>
      </c>
    </row>
    <row r="10" spans="1:16" x14ac:dyDescent="0.3">
      <c r="A10" s="5" t="s">
        <v>57</v>
      </c>
      <c r="B10" s="1" t="s">
        <v>58</v>
      </c>
      <c r="C10" s="1" t="s">
        <v>16</v>
      </c>
      <c r="D10" s="1">
        <v>38</v>
      </c>
      <c r="E10" s="1" t="s">
        <v>59</v>
      </c>
      <c r="F10" s="1" t="s">
        <v>60</v>
      </c>
      <c r="G10" s="1" t="s">
        <v>61</v>
      </c>
      <c r="H10" s="1">
        <v>12</v>
      </c>
      <c r="I10" s="1">
        <v>38125</v>
      </c>
      <c r="J10" s="1">
        <v>6100</v>
      </c>
      <c r="K10" s="1">
        <v>82</v>
      </c>
      <c r="L10" s="1" t="s">
        <v>20</v>
      </c>
      <c r="M10" s="1" t="s">
        <v>21</v>
      </c>
      <c r="N10" s="6" t="s">
        <v>22</v>
      </c>
    </row>
    <row r="11" spans="1:16" x14ac:dyDescent="0.3">
      <c r="A11" s="5" t="s">
        <v>62</v>
      </c>
      <c r="B11" s="1" t="s">
        <v>63</v>
      </c>
      <c r="C11" s="1" t="s">
        <v>31</v>
      </c>
      <c r="D11" s="1">
        <v>42</v>
      </c>
      <c r="E11" s="1" t="s">
        <v>59</v>
      </c>
      <c r="F11" s="1" t="s">
        <v>60</v>
      </c>
      <c r="G11" s="1" t="s">
        <v>64</v>
      </c>
      <c r="H11" s="1">
        <v>11</v>
      </c>
      <c r="I11" s="1">
        <v>114805</v>
      </c>
      <c r="J11" s="1">
        <v>17221</v>
      </c>
      <c r="K11" s="1">
        <v>82</v>
      </c>
      <c r="L11" s="1" t="s">
        <v>20</v>
      </c>
      <c r="M11" s="1" t="s">
        <v>21</v>
      </c>
      <c r="N11" s="6" t="s">
        <v>35</v>
      </c>
    </row>
    <row r="12" spans="1:16" x14ac:dyDescent="0.3">
      <c r="A12" s="5" t="s">
        <v>65</v>
      </c>
      <c r="B12" s="1" t="s">
        <v>66</v>
      </c>
      <c r="C12" s="1" t="s">
        <v>31</v>
      </c>
      <c r="D12" s="1">
        <v>22</v>
      </c>
      <c r="E12" s="1" t="s">
        <v>25</v>
      </c>
      <c r="F12" s="1" t="s">
        <v>67</v>
      </c>
      <c r="G12" s="1" t="s">
        <v>68</v>
      </c>
      <c r="H12" s="1">
        <v>13</v>
      </c>
      <c r="I12" s="1">
        <v>53892</v>
      </c>
      <c r="J12" s="1">
        <v>10778</v>
      </c>
      <c r="K12" s="1">
        <v>82</v>
      </c>
      <c r="L12" s="1" t="s">
        <v>69</v>
      </c>
      <c r="M12" s="1" t="s">
        <v>21</v>
      </c>
      <c r="N12" s="6" t="s">
        <v>44</v>
      </c>
    </row>
    <row r="13" spans="1:16" x14ac:dyDescent="0.3">
      <c r="A13" s="5" t="s">
        <v>70</v>
      </c>
      <c r="B13" s="1" t="s">
        <v>71</v>
      </c>
      <c r="C13" s="1" t="s">
        <v>16</v>
      </c>
      <c r="D13" s="1">
        <v>42</v>
      </c>
      <c r="E13" s="1" t="s">
        <v>32</v>
      </c>
      <c r="F13" s="1" t="s">
        <v>60</v>
      </c>
      <c r="G13" s="1" t="s">
        <v>72</v>
      </c>
      <c r="H13" s="1">
        <v>2</v>
      </c>
      <c r="I13" s="1">
        <v>83849</v>
      </c>
      <c r="J13" s="1">
        <v>15931</v>
      </c>
      <c r="K13" s="1">
        <v>75</v>
      </c>
      <c r="L13" s="1" t="s">
        <v>20</v>
      </c>
      <c r="M13" s="1" t="s">
        <v>21</v>
      </c>
      <c r="N13" s="6" t="s">
        <v>22</v>
      </c>
    </row>
    <row r="14" spans="1:16" x14ac:dyDescent="0.3">
      <c r="A14" s="5" t="s">
        <v>73</v>
      </c>
      <c r="B14" s="1" t="s">
        <v>74</v>
      </c>
      <c r="C14" s="1" t="s">
        <v>16</v>
      </c>
      <c r="D14" s="1">
        <v>43</v>
      </c>
      <c r="E14" s="1" t="s">
        <v>25</v>
      </c>
      <c r="F14" s="1" t="s">
        <v>75</v>
      </c>
      <c r="G14" s="1" t="s">
        <v>76</v>
      </c>
      <c r="H14" s="1">
        <v>2</v>
      </c>
      <c r="I14" s="1">
        <v>74633</v>
      </c>
      <c r="J14" s="1">
        <v>8956</v>
      </c>
      <c r="K14" s="1">
        <v>81</v>
      </c>
      <c r="L14" s="1" t="s">
        <v>34</v>
      </c>
      <c r="M14" s="1" t="s">
        <v>21</v>
      </c>
      <c r="N14" s="6" t="s">
        <v>50</v>
      </c>
    </row>
    <row r="15" spans="1:16" x14ac:dyDescent="0.3">
      <c r="A15" s="5" t="s">
        <v>77</v>
      </c>
      <c r="B15" s="1" t="s">
        <v>78</v>
      </c>
      <c r="C15" s="1" t="s">
        <v>16</v>
      </c>
      <c r="D15" s="1">
        <v>24</v>
      </c>
      <c r="E15" s="1" t="s">
        <v>47</v>
      </c>
      <c r="F15" s="1" t="s">
        <v>60</v>
      </c>
      <c r="G15" s="1" t="s">
        <v>79</v>
      </c>
      <c r="H15" s="1">
        <v>0</v>
      </c>
      <c r="I15" s="1">
        <v>35560</v>
      </c>
      <c r="J15" s="1">
        <v>4267</v>
      </c>
      <c r="K15" s="1">
        <v>97</v>
      </c>
      <c r="L15" s="1" t="s">
        <v>34</v>
      </c>
      <c r="M15" s="1" t="s">
        <v>21</v>
      </c>
      <c r="N15" s="6" t="s">
        <v>50</v>
      </c>
    </row>
    <row r="16" spans="1:16" x14ac:dyDescent="0.3">
      <c r="A16" s="5" t="s">
        <v>80</v>
      </c>
      <c r="B16" s="1" t="s">
        <v>81</v>
      </c>
      <c r="C16" s="1" t="s">
        <v>16</v>
      </c>
      <c r="D16" s="1">
        <v>22</v>
      </c>
      <c r="E16" s="1" t="s">
        <v>59</v>
      </c>
      <c r="F16" s="1" t="s">
        <v>18</v>
      </c>
      <c r="G16" s="1" t="s">
        <v>82</v>
      </c>
      <c r="H16" s="1">
        <v>3</v>
      </c>
      <c r="I16" s="1">
        <v>63620</v>
      </c>
      <c r="J16" s="1">
        <v>6362</v>
      </c>
      <c r="K16" s="1">
        <v>79</v>
      </c>
      <c r="L16" s="1" t="s">
        <v>40</v>
      </c>
      <c r="M16" s="1" t="s">
        <v>21</v>
      </c>
      <c r="N16" s="6" t="s">
        <v>35</v>
      </c>
    </row>
    <row r="17" spans="1:14" x14ac:dyDescent="0.3">
      <c r="A17" s="5" t="s">
        <v>83</v>
      </c>
      <c r="B17" s="1" t="s">
        <v>84</v>
      </c>
      <c r="C17" s="1" t="s">
        <v>31</v>
      </c>
      <c r="D17" s="1">
        <v>37</v>
      </c>
      <c r="E17" s="1" t="s">
        <v>25</v>
      </c>
      <c r="F17" s="1" t="s">
        <v>85</v>
      </c>
      <c r="G17" s="1" t="s">
        <v>86</v>
      </c>
      <c r="H17" s="1">
        <v>12</v>
      </c>
      <c r="I17" s="1">
        <v>65320</v>
      </c>
      <c r="J17" s="1">
        <v>7185</v>
      </c>
      <c r="K17" s="1">
        <v>85</v>
      </c>
      <c r="L17" s="1" t="s">
        <v>20</v>
      </c>
      <c r="M17" s="1" t="s">
        <v>21</v>
      </c>
      <c r="N17" s="6" t="s">
        <v>22</v>
      </c>
    </row>
    <row r="18" spans="1:14" x14ac:dyDescent="0.3">
      <c r="A18" s="5" t="s">
        <v>87</v>
      </c>
      <c r="B18" s="1" t="s">
        <v>88</v>
      </c>
      <c r="C18" s="1" t="s">
        <v>31</v>
      </c>
      <c r="D18" s="1">
        <v>22</v>
      </c>
      <c r="E18" s="1" t="s">
        <v>17</v>
      </c>
      <c r="F18" s="1" t="s">
        <v>48</v>
      </c>
      <c r="G18" s="1" t="s">
        <v>89</v>
      </c>
      <c r="H18" s="1">
        <v>7</v>
      </c>
      <c r="I18" s="1">
        <v>54397</v>
      </c>
      <c r="J18" s="1">
        <v>5440</v>
      </c>
      <c r="K18" s="1">
        <v>87</v>
      </c>
      <c r="L18" s="1" t="s">
        <v>40</v>
      </c>
      <c r="M18" s="1" t="s">
        <v>21</v>
      </c>
      <c r="N18" s="6" t="s">
        <v>50</v>
      </c>
    </row>
    <row r="19" spans="1:14" x14ac:dyDescent="0.3">
      <c r="A19" s="5" t="s">
        <v>90</v>
      </c>
      <c r="B19" s="1" t="s">
        <v>91</v>
      </c>
      <c r="C19" s="1" t="s">
        <v>31</v>
      </c>
      <c r="D19" s="1">
        <v>35</v>
      </c>
      <c r="E19" s="1" t="s">
        <v>32</v>
      </c>
      <c r="F19" s="1" t="s">
        <v>18</v>
      </c>
      <c r="G19" s="1" t="s">
        <v>92</v>
      </c>
      <c r="H19" s="1">
        <v>15</v>
      </c>
      <c r="I19" s="1">
        <v>37680</v>
      </c>
      <c r="J19" s="1">
        <v>4898</v>
      </c>
      <c r="K19" s="1">
        <v>82</v>
      </c>
      <c r="L19" s="1" t="s">
        <v>40</v>
      </c>
      <c r="M19" s="1" t="s">
        <v>21</v>
      </c>
      <c r="N19" s="6" t="s">
        <v>28</v>
      </c>
    </row>
    <row r="20" spans="1:14" x14ac:dyDescent="0.3">
      <c r="A20" s="5" t="s">
        <v>93</v>
      </c>
      <c r="B20" s="1" t="s">
        <v>94</v>
      </c>
      <c r="C20" s="1" t="s">
        <v>16</v>
      </c>
      <c r="D20" s="1">
        <v>23</v>
      </c>
      <c r="E20" s="1" t="s">
        <v>59</v>
      </c>
      <c r="F20" s="1" t="s">
        <v>18</v>
      </c>
      <c r="G20" s="1" t="s">
        <v>95</v>
      </c>
      <c r="H20" s="1">
        <v>9</v>
      </c>
      <c r="I20" s="1">
        <v>42537</v>
      </c>
      <c r="J20" s="1">
        <v>6806</v>
      </c>
      <c r="K20" s="1">
        <v>91</v>
      </c>
      <c r="L20" s="1" t="s">
        <v>40</v>
      </c>
      <c r="M20" s="1" t="s">
        <v>21</v>
      </c>
      <c r="N20" s="6" t="s">
        <v>35</v>
      </c>
    </row>
    <row r="21" spans="1:14" x14ac:dyDescent="0.3">
      <c r="A21" s="5" t="s">
        <v>96</v>
      </c>
      <c r="B21" s="1" t="s">
        <v>97</v>
      </c>
      <c r="C21" s="1" t="s">
        <v>31</v>
      </c>
      <c r="D21" s="1">
        <v>47</v>
      </c>
      <c r="E21" s="1" t="s">
        <v>47</v>
      </c>
      <c r="F21" s="1" t="s">
        <v>75</v>
      </c>
      <c r="G21" s="1" t="s">
        <v>98</v>
      </c>
      <c r="H21" s="1">
        <v>7</v>
      </c>
      <c r="I21" s="1">
        <v>100287</v>
      </c>
      <c r="J21" s="1">
        <v>20057</v>
      </c>
      <c r="K21" s="1">
        <v>94</v>
      </c>
      <c r="L21" s="1" t="s">
        <v>34</v>
      </c>
      <c r="M21" s="1" t="s">
        <v>21</v>
      </c>
      <c r="N21" s="6" t="s">
        <v>44</v>
      </c>
    </row>
    <row r="22" spans="1:14" x14ac:dyDescent="0.3">
      <c r="A22" s="5" t="s">
        <v>99</v>
      </c>
      <c r="B22" s="1" t="s">
        <v>100</v>
      </c>
      <c r="C22" s="1" t="s">
        <v>16</v>
      </c>
      <c r="D22" s="1">
        <v>40</v>
      </c>
      <c r="E22" s="1" t="s">
        <v>38</v>
      </c>
      <c r="F22" s="1" t="s">
        <v>75</v>
      </c>
      <c r="G22" s="1" t="s">
        <v>101</v>
      </c>
      <c r="H22" s="1">
        <v>0</v>
      </c>
      <c r="I22" s="1">
        <v>88459</v>
      </c>
      <c r="J22" s="1">
        <v>14153</v>
      </c>
      <c r="K22" s="1">
        <v>82</v>
      </c>
      <c r="L22" s="1" t="s">
        <v>40</v>
      </c>
      <c r="M22" s="1" t="s">
        <v>21</v>
      </c>
      <c r="N22" s="6" t="s">
        <v>22</v>
      </c>
    </row>
    <row r="23" spans="1:14" x14ac:dyDescent="0.3">
      <c r="A23" s="5" t="s">
        <v>102</v>
      </c>
      <c r="B23" s="1" t="s">
        <v>103</v>
      </c>
      <c r="C23" s="1" t="s">
        <v>31</v>
      </c>
      <c r="D23" s="1">
        <v>40</v>
      </c>
      <c r="E23" s="1" t="s">
        <v>25</v>
      </c>
      <c r="F23" s="1" t="s">
        <v>60</v>
      </c>
      <c r="G23" s="1" t="s">
        <v>104</v>
      </c>
      <c r="H23" s="1">
        <v>4</v>
      </c>
      <c r="I23" s="1">
        <v>112307</v>
      </c>
      <c r="J23" s="1">
        <v>13477</v>
      </c>
      <c r="K23" s="1">
        <v>94</v>
      </c>
      <c r="L23" s="1" t="s">
        <v>34</v>
      </c>
      <c r="M23" s="1" t="s">
        <v>21</v>
      </c>
      <c r="N23" s="6" t="s">
        <v>50</v>
      </c>
    </row>
    <row r="24" spans="1:14" x14ac:dyDescent="0.3">
      <c r="A24" s="5" t="s">
        <v>105</v>
      </c>
      <c r="B24" s="1" t="s">
        <v>106</v>
      </c>
      <c r="C24" s="1" t="s">
        <v>16</v>
      </c>
      <c r="D24" s="1">
        <v>42</v>
      </c>
      <c r="E24" s="1" t="s">
        <v>32</v>
      </c>
      <c r="F24" s="1" t="s">
        <v>60</v>
      </c>
      <c r="G24" s="1" t="s">
        <v>107</v>
      </c>
      <c r="H24" s="1">
        <v>5</v>
      </c>
      <c r="I24" s="1">
        <v>40421</v>
      </c>
      <c r="J24" s="1">
        <v>2021</v>
      </c>
      <c r="K24" s="1">
        <v>75</v>
      </c>
      <c r="L24" s="1" t="s">
        <v>34</v>
      </c>
      <c r="M24" s="1" t="s">
        <v>21</v>
      </c>
      <c r="N24" s="6" t="s">
        <v>50</v>
      </c>
    </row>
    <row r="25" spans="1:14" x14ac:dyDescent="0.3">
      <c r="A25" s="5" t="s">
        <v>108</v>
      </c>
      <c r="B25" s="1" t="s">
        <v>109</v>
      </c>
      <c r="C25" s="1" t="s">
        <v>16</v>
      </c>
      <c r="D25" s="1">
        <v>42</v>
      </c>
      <c r="E25" s="1" t="s">
        <v>17</v>
      </c>
      <c r="F25" s="1" t="s">
        <v>85</v>
      </c>
      <c r="G25" s="1" t="s">
        <v>110</v>
      </c>
      <c r="H25" s="1">
        <v>3</v>
      </c>
      <c r="I25" s="1">
        <v>55391</v>
      </c>
      <c r="J25" s="1">
        <v>5539</v>
      </c>
      <c r="K25" s="1">
        <v>89</v>
      </c>
      <c r="L25" s="1" t="s">
        <v>40</v>
      </c>
      <c r="M25" s="1" t="s">
        <v>21</v>
      </c>
      <c r="N25" s="6" t="s">
        <v>50</v>
      </c>
    </row>
    <row r="26" spans="1:14" x14ac:dyDescent="0.3">
      <c r="A26" s="5" t="s">
        <v>111</v>
      </c>
      <c r="B26" s="1" t="s">
        <v>112</v>
      </c>
      <c r="C26" s="1" t="s">
        <v>31</v>
      </c>
      <c r="D26" s="1">
        <v>24</v>
      </c>
      <c r="E26" s="1" t="s">
        <v>17</v>
      </c>
      <c r="F26" s="1" t="s">
        <v>26</v>
      </c>
      <c r="G26" s="1" t="s">
        <v>113</v>
      </c>
      <c r="H26" s="1">
        <v>13</v>
      </c>
      <c r="I26" s="1">
        <v>33527</v>
      </c>
      <c r="J26" s="1">
        <v>3688</v>
      </c>
      <c r="K26" s="1">
        <v>89</v>
      </c>
      <c r="L26" s="1" t="s">
        <v>69</v>
      </c>
      <c r="M26" s="1" t="s">
        <v>21</v>
      </c>
      <c r="N26" s="6" t="s">
        <v>50</v>
      </c>
    </row>
    <row r="27" spans="1:14" x14ac:dyDescent="0.3">
      <c r="A27" s="5" t="s">
        <v>114</v>
      </c>
      <c r="B27" s="1" t="s">
        <v>115</v>
      </c>
      <c r="C27" s="1" t="s">
        <v>31</v>
      </c>
      <c r="D27" s="1">
        <v>27</v>
      </c>
      <c r="E27" s="1" t="s">
        <v>25</v>
      </c>
      <c r="F27" s="1" t="s">
        <v>67</v>
      </c>
      <c r="G27" s="1" t="s">
        <v>116</v>
      </c>
      <c r="H27" s="1">
        <v>5</v>
      </c>
      <c r="I27" s="1">
        <v>91172</v>
      </c>
      <c r="J27" s="1">
        <v>13676</v>
      </c>
      <c r="K27" s="1">
        <v>91</v>
      </c>
      <c r="L27" s="1" t="s">
        <v>20</v>
      </c>
      <c r="M27" s="1" t="s">
        <v>117</v>
      </c>
      <c r="N27" s="6" t="s">
        <v>44</v>
      </c>
    </row>
    <row r="28" spans="1:14" x14ac:dyDescent="0.3">
      <c r="A28" s="5" t="s">
        <v>118</v>
      </c>
      <c r="B28" s="1" t="s">
        <v>119</v>
      </c>
      <c r="C28" s="1" t="s">
        <v>31</v>
      </c>
      <c r="D28" s="1">
        <v>42</v>
      </c>
      <c r="E28" s="1" t="s">
        <v>38</v>
      </c>
      <c r="F28" s="1" t="s">
        <v>67</v>
      </c>
      <c r="G28" s="1" t="s">
        <v>120</v>
      </c>
      <c r="H28" s="1">
        <v>1</v>
      </c>
      <c r="I28" s="1">
        <v>39330</v>
      </c>
      <c r="J28" s="1">
        <v>7866</v>
      </c>
      <c r="K28" s="1">
        <v>84</v>
      </c>
      <c r="L28" s="1" t="s">
        <v>40</v>
      </c>
      <c r="M28" s="1" t="s">
        <v>21</v>
      </c>
      <c r="N28" s="6" t="s">
        <v>28</v>
      </c>
    </row>
    <row r="29" spans="1:14" x14ac:dyDescent="0.3">
      <c r="A29" s="5" t="s">
        <v>121</v>
      </c>
      <c r="B29" s="1" t="s">
        <v>88</v>
      </c>
      <c r="C29" s="1" t="s">
        <v>31</v>
      </c>
      <c r="D29" s="1">
        <v>44</v>
      </c>
      <c r="E29" s="1" t="s">
        <v>17</v>
      </c>
      <c r="F29" s="1" t="s">
        <v>48</v>
      </c>
      <c r="G29" s="1" t="s">
        <v>122</v>
      </c>
      <c r="H29" s="1">
        <v>5</v>
      </c>
      <c r="I29" s="1">
        <v>44769</v>
      </c>
      <c r="J29" s="1">
        <v>2686</v>
      </c>
      <c r="K29" s="1">
        <v>78</v>
      </c>
      <c r="L29" s="1" t="s">
        <v>69</v>
      </c>
      <c r="M29" s="1" t="s">
        <v>21</v>
      </c>
      <c r="N29" s="6" t="s">
        <v>28</v>
      </c>
    </row>
    <row r="30" spans="1:14" x14ac:dyDescent="0.3">
      <c r="A30" s="5" t="s">
        <v>123</v>
      </c>
      <c r="B30" s="1" t="s">
        <v>124</v>
      </c>
      <c r="C30" s="1" t="s">
        <v>31</v>
      </c>
      <c r="D30" s="1">
        <v>29</v>
      </c>
      <c r="E30" s="1" t="s">
        <v>38</v>
      </c>
      <c r="F30" s="1" t="s">
        <v>26</v>
      </c>
      <c r="G30" s="1" t="s">
        <v>125</v>
      </c>
      <c r="H30" s="1">
        <v>3</v>
      </c>
      <c r="I30" s="1">
        <v>46978</v>
      </c>
      <c r="J30" s="1">
        <v>4698</v>
      </c>
      <c r="K30" s="1">
        <v>98</v>
      </c>
      <c r="L30" s="1" t="s">
        <v>40</v>
      </c>
      <c r="M30" s="1" t="s">
        <v>21</v>
      </c>
      <c r="N30" s="6" t="s">
        <v>50</v>
      </c>
    </row>
    <row r="31" spans="1:14" x14ac:dyDescent="0.3">
      <c r="A31" s="5" t="s">
        <v>126</v>
      </c>
      <c r="B31" s="1" t="s">
        <v>127</v>
      </c>
      <c r="C31" s="1" t="s">
        <v>16</v>
      </c>
      <c r="D31" s="1">
        <v>27</v>
      </c>
      <c r="E31" s="1" t="s">
        <v>47</v>
      </c>
      <c r="F31" s="1" t="s">
        <v>75</v>
      </c>
      <c r="G31" s="1" t="s">
        <v>128</v>
      </c>
      <c r="H31" s="1">
        <v>14</v>
      </c>
      <c r="I31" s="1">
        <v>27894</v>
      </c>
      <c r="J31" s="1">
        <v>2789</v>
      </c>
      <c r="K31" s="1">
        <v>85</v>
      </c>
      <c r="L31" s="1" t="s">
        <v>40</v>
      </c>
      <c r="M31" s="1" t="s">
        <v>21</v>
      </c>
      <c r="N31" s="6" t="s">
        <v>28</v>
      </c>
    </row>
    <row r="32" spans="1:14" x14ac:dyDescent="0.3">
      <c r="A32" s="5" t="s">
        <v>129</v>
      </c>
      <c r="B32" s="1" t="s">
        <v>130</v>
      </c>
      <c r="C32" s="1" t="s">
        <v>31</v>
      </c>
      <c r="D32" s="1">
        <v>36</v>
      </c>
      <c r="E32" s="1" t="s">
        <v>47</v>
      </c>
      <c r="F32" s="1" t="s">
        <v>75</v>
      </c>
      <c r="G32" s="1" t="s">
        <v>131</v>
      </c>
      <c r="H32" s="1">
        <v>12</v>
      </c>
      <c r="I32" s="1">
        <v>88696</v>
      </c>
      <c r="J32" s="1">
        <v>8870</v>
      </c>
      <c r="K32" s="1">
        <v>91</v>
      </c>
      <c r="L32" s="1" t="s">
        <v>69</v>
      </c>
      <c r="M32" s="1" t="s">
        <v>21</v>
      </c>
      <c r="N32" s="6" t="s">
        <v>22</v>
      </c>
    </row>
    <row r="33" spans="1:14" x14ac:dyDescent="0.3">
      <c r="A33" s="5" t="s">
        <v>132</v>
      </c>
      <c r="B33" s="1" t="s">
        <v>133</v>
      </c>
      <c r="C33" s="1" t="s">
        <v>31</v>
      </c>
      <c r="D33" s="1">
        <v>31</v>
      </c>
      <c r="E33" s="1" t="s">
        <v>38</v>
      </c>
      <c r="F33" s="1" t="s">
        <v>85</v>
      </c>
      <c r="G33" s="1" t="s">
        <v>134</v>
      </c>
      <c r="H33" s="1">
        <v>11</v>
      </c>
      <c r="I33" s="1">
        <v>37743</v>
      </c>
      <c r="J33" s="1">
        <v>7549</v>
      </c>
      <c r="K33" s="1">
        <v>98</v>
      </c>
      <c r="L33" s="1" t="s">
        <v>20</v>
      </c>
      <c r="M33" s="1" t="s">
        <v>117</v>
      </c>
      <c r="N33" s="6" t="s">
        <v>50</v>
      </c>
    </row>
    <row r="34" spans="1:14" x14ac:dyDescent="0.3">
      <c r="A34" s="5" t="s">
        <v>135</v>
      </c>
      <c r="B34" s="1" t="s">
        <v>91</v>
      </c>
      <c r="C34" s="1" t="s">
        <v>31</v>
      </c>
      <c r="D34" s="1">
        <v>24</v>
      </c>
      <c r="E34" s="1" t="s">
        <v>59</v>
      </c>
      <c r="F34" s="1" t="s">
        <v>18</v>
      </c>
      <c r="G34" s="1" t="s">
        <v>136</v>
      </c>
      <c r="H34" s="1">
        <v>8</v>
      </c>
      <c r="I34" s="1">
        <v>31715</v>
      </c>
      <c r="J34" s="1">
        <v>6026</v>
      </c>
      <c r="K34" s="1">
        <v>77</v>
      </c>
      <c r="L34" s="1" t="s">
        <v>40</v>
      </c>
      <c r="M34" s="1" t="s">
        <v>21</v>
      </c>
      <c r="N34" s="6" t="s">
        <v>44</v>
      </c>
    </row>
    <row r="35" spans="1:14" x14ac:dyDescent="0.3">
      <c r="A35" s="5" t="s">
        <v>137</v>
      </c>
      <c r="B35" s="1" t="s">
        <v>63</v>
      </c>
      <c r="C35" s="1" t="s">
        <v>31</v>
      </c>
      <c r="D35" s="1">
        <v>42</v>
      </c>
      <c r="E35" s="1" t="s">
        <v>38</v>
      </c>
      <c r="F35" s="1" t="s">
        <v>60</v>
      </c>
      <c r="G35" s="1" t="s">
        <v>95</v>
      </c>
      <c r="H35" s="1">
        <v>2</v>
      </c>
      <c r="I35" s="1">
        <v>71033</v>
      </c>
      <c r="J35" s="1">
        <v>12076</v>
      </c>
      <c r="K35" s="1">
        <v>97</v>
      </c>
      <c r="L35" s="1" t="s">
        <v>34</v>
      </c>
      <c r="M35" s="1" t="s">
        <v>21</v>
      </c>
      <c r="N35" s="6" t="s">
        <v>35</v>
      </c>
    </row>
    <row r="36" spans="1:14" x14ac:dyDescent="0.3">
      <c r="A36" s="5" t="s">
        <v>138</v>
      </c>
      <c r="B36" s="1" t="s">
        <v>139</v>
      </c>
      <c r="C36" s="1" t="s">
        <v>31</v>
      </c>
      <c r="D36" s="1">
        <v>35</v>
      </c>
      <c r="E36" s="1" t="s">
        <v>17</v>
      </c>
      <c r="F36" s="1" t="s">
        <v>48</v>
      </c>
      <c r="G36" s="1" t="s">
        <v>140</v>
      </c>
      <c r="H36" s="1">
        <v>9</v>
      </c>
      <c r="I36" s="1">
        <v>118741</v>
      </c>
      <c r="J36" s="1">
        <v>14249</v>
      </c>
      <c r="K36" s="1">
        <v>94</v>
      </c>
      <c r="L36" s="1" t="s">
        <v>40</v>
      </c>
      <c r="M36" s="1" t="s">
        <v>21</v>
      </c>
      <c r="N36" s="6" t="s">
        <v>44</v>
      </c>
    </row>
    <row r="37" spans="1:14" x14ac:dyDescent="0.3">
      <c r="A37" s="5" t="s">
        <v>141</v>
      </c>
      <c r="B37" s="1" t="s">
        <v>142</v>
      </c>
      <c r="C37" s="1" t="s">
        <v>16</v>
      </c>
      <c r="D37" s="1">
        <v>27</v>
      </c>
      <c r="E37" s="1" t="s">
        <v>59</v>
      </c>
      <c r="F37" s="1" t="s">
        <v>75</v>
      </c>
      <c r="G37" s="1" t="s">
        <v>143</v>
      </c>
      <c r="H37" s="1">
        <v>3</v>
      </c>
      <c r="I37" s="1">
        <v>117367</v>
      </c>
      <c r="J37" s="1">
        <v>22300</v>
      </c>
      <c r="K37" s="1">
        <v>98</v>
      </c>
      <c r="L37" s="1" t="s">
        <v>69</v>
      </c>
      <c r="M37" s="1" t="s">
        <v>21</v>
      </c>
      <c r="N37" s="6" t="s">
        <v>28</v>
      </c>
    </row>
    <row r="38" spans="1:14" x14ac:dyDescent="0.3">
      <c r="A38" s="5" t="s">
        <v>144</v>
      </c>
      <c r="B38" s="1" t="s">
        <v>145</v>
      </c>
      <c r="C38" s="1" t="s">
        <v>31</v>
      </c>
      <c r="D38" s="1">
        <v>50</v>
      </c>
      <c r="E38" s="1" t="s">
        <v>32</v>
      </c>
      <c r="F38" s="1" t="s">
        <v>75</v>
      </c>
      <c r="G38" s="1" t="s">
        <v>146</v>
      </c>
      <c r="H38" s="1">
        <v>14</v>
      </c>
      <c r="I38" s="1">
        <v>77566</v>
      </c>
      <c r="J38" s="1">
        <v>12411</v>
      </c>
      <c r="K38" s="1">
        <v>86</v>
      </c>
      <c r="L38" s="1" t="s">
        <v>69</v>
      </c>
      <c r="M38" s="1" t="s">
        <v>21</v>
      </c>
      <c r="N38" s="6" t="s">
        <v>44</v>
      </c>
    </row>
    <row r="39" spans="1:14" x14ac:dyDescent="0.3">
      <c r="A39" s="5" t="s">
        <v>147</v>
      </c>
      <c r="B39" s="1" t="s">
        <v>148</v>
      </c>
      <c r="C39" s="1" t="s">
        <v>31</v>
      </c>
      <c r="D39" s="1">
        <v>34</v>
      </c>
      <c r="E39" s="1" t="s">
        <v>32</v>
      </c>
      <c r="F39" s="1" t="s">
        <v>85</v>
      </c>
      <c r="G39" s="1" t="s">
        <v>149</v>
      </c>
      <c r="H39" s="1">
        <v>2</v>
      </c>
      <c r="I39" s="1">
        <v>72030</v>
      </c>
      <c r="J39" s="1">
        <v>5762</v>
      </c>
      <c r="K39" s="1">
        <v>88</v>
      </c>
      <c r="L39" s="1" t="s">
        <v>69</v>
      </c>
      <c r="M39" s="1" t="s">
        <v>21</v>
      </c>
      <c r="N39" s="6" t="s">
        <v>35</v>
      </c>
    </row>
    <row r="40" spans="1:14" x14ac:dyDescent="0.3">
      <c r="A40" s="5" t="s">
        <v>150</v>
      </c>
      <c r="B40" s="1" t="s">
        <v>94</v>
      </c>
      <c r="C40" s="1" t="s">
        <v>16</v>
      </c>
      <c r="D40" s="1">
        <v>23</v>
      </c>
      <c r="E40" s="1" t="s">
        <v>25</v>
      </c>
      <c r="F40" s="1" t="s">
        <v>60</v>
      </c>
      <c r="G40" s="1" t="s">
        <v>151</v>
      </c>
      <c r="H40" s="1">
        <v>9</v>
      </c>
      <c r="I40" s="1">
        <v>88616</v>
      </c>
      <c r="J40" s="1">
        <v>10634</v>
      </c>
      <c r="K40" s="1">
        <v>99</v>
      </c>
      <c r="L40" s="1" t="s">
        <v>69</v>
      </c>
      <c r="M40" s="1" t="s">
        <v>21</v>
      </c>
      <c r="N40" s="6" t="s">
        <v>44</v>
      </c>
    </row>
    <row r="41" spans="1:14" x14ac:dyDescent="0.3">
      <c r="A41" s="5" t="s">
        <v>152</v>
      </c>
      <c r="B41" s="1" t="s">
        <v>35</v>
      </c>
      <c r="C41" s="1" t="s">
        <v>16</v>
      </c>
      <c r="D41" s="1">
        <v>40</v>
      </c>
      <c r="E41" s="1" t="s">
        <v>59</v>
      </c>
      <c r="F41" s="1" t="s">
        <v>60</v>
      </c>
      <c r="G41" s="1" t="s">
        <v>153</v>
      </c>
      <c r="H41" s="1">
        <v>14</v>
      </c>
      <c r="I41" s="1">
        <v>56368</v>
      </c>
      <c r="J41" s="1">
        <v>3382</v>
      </c>
      <c r="K41" s="1">
        <v>100</v>
      </c>
      <c r="L41" s="1" t="s">
        <v>20</v>
      </c>
      <c r="M41" s="1" t="s">
        <v>117</v>
      </c>
      <c r="N41" s="6" t="s">
        <v>22</v>
      </c>
    </row>
    <row r="42" spans="1:14" x14ac:dyDescent="0.3">
      <c r="A42" s="5" t="s">
        <v>154</v>
      </c>
      <c r="B42" s="1" t="s">
        <v>155</v>
      </c>
      <c r="C42" s="1" t="s">
        <v>31</v>
      </c>
      <c r="D42" s="1">
        <v>47</v>
      </c>
      <c r="E42" s="1" t="s">
        <v>38</v>
      </c>
      <c r="F42" s="1" t="s">
        <v>67</v>
      </c>
      <c r="G42" s="1" t="s">
        <v>156</v>
      </c>
      <c r="H42" s="1">
        <v>10</v>
      </c>
      <c r="I42" s="1">
        <v>115378</v>
      </c>
      <c r="J42" s="1">
        <v>8076</v>
      </c>
      <c r="K42" s="1">
        <v>100</v>
      </c>
      <c r="L42" s="1" t="s">
        <v>69</v>
      </c>
      <c r="M42" s="1" t="s">
        <v>21</v>
      </c>
      <c r="N42" s="6" t="s">
        <v>22</v>
      </c>
    </row>
    <row r="43" spans="1:14" x14ac:dyDescent="0.3">
      <c r="A43" s="5" t="s">
        <v>157</v>
      </c>
      <c r="B43" s="1" t="s">
        <v>158</v>
      </c>
      <c r="C43" s="1" t="s">
        <v>31</v>
      </c>
      <c r="D43" s="1">
        <v>24</v>
      </c>
      <c r="E43" s="1" t="s">
        <v>47</v>
      </c>
      <c r="F43" s="1" t="s">
        <v>67</v>
      </c>
      <c r="G43" s="1" t="s">
        <v>159</v>
      </c>
      <c r="H43" s="1">
        <v>5</v>
      </c>
      <c r="I43" s="1">
        <v>109081</v>
      </c>
      <c r="J43" s="1">
        <v>18544</v>
      </c>
      <c r="K43" s="1">
        <v>95</v>
      </c>
      <c r="L43" s="1" t="s">
        <v>69</v>
      </c>
      <c r="M43" s="1" t="s">
        <v>21</v>
      </c>
      <c r="N43" s="6" t="s">
        <v>50</v>
      </c>
    </row>
    <row r="44" spans="1:14" x14ac:dyDescent="0.3">
      <c r="A44" s="5" t="s">
        <v>160</v>
      </c>
      <c r="B44" s="1" t="s">
        <v>161</v>
      </c>
      <c r="C44" s="1" t="s">
        <v>31</v>
      </c>
      <c r="D44" s="1">
        <v>45</v>
      </c>
      <c r="E44" s="1" t="s">
        <v>47</v>
      </c>
      <c r="F44" s="1" t="s">
        <v>85</v>
      </c>
      <c r="G44" s="1" t="s">
        <v>162</v>
      </c>
      <c r="H44" s="1">
        <v>15</v>
      </c>
      <c r="I44" s="1">
        <v>84961</v>
      </c>
      <c r="J44" s="1">
        <v>5098</v>
      </c>
      <c r="K44" s="1">
        <v>100</v>
      </c>
      <c r="L44" s="1" t="s">
        <v>69</v>
      </c>
      <c r="M44" s="1" t="s">
        <v>21</v>
      </c>
      <c r="N44" s="6" t="s">
        <v>50</v>
      </c>
    </row>
    <row r="45" spans="1:14" x14ac:dyDescent="0.3">
      <c r="A45" s="5" t="s">
        <v>163</v>
      </c>
      <c r="B45" s="1" t="s">
        <v>164</v>
      </c>
      <c r="C45" s="1" t="s">
        <v>31</v>
      </c>
      <c r="D45" s="1">
        <v>22</v>
      </c>
      <c r="E45" s="1" t="s">
        <v>47</v>
      </c>
      <c r="F45" s="1" t="s">
        <v>85</v>
      </c>
      <c r="G45" s="1" t="s">
        <v>165</v>
      </c>
      <c r="H45" s="1">
        <v>9</v>
      </c>
      <c r="I45" s="1">
        <v>32631</v>
      </c>
      <c r="J45" s="1">
        <v>2284</v>
      </c>
      <c r="K45" s="1">
        <v>82</v>
      </c>
      <c r="L45" s="1" t="s">
        <v>34</v>
      </c>
      <c r="M45" s="1" t="s">
        <v>21</v>
      </c>
      <c r="N45" s="6" t="s">
        <v>22</v>
      </c>
    </row>
    <row r="46" spans="1:14" x14ac:dyDescent="0.3">
      <c r="A46" s="5" t="s">
        <v>166</v>
      </c>
      <c r="B46" s="1" t="s">
        <v>167</v>
      </c>
      <c r="C46" s="1" t="s">
        <v>16</v>
      </c>
      <c r="D46" s="1">
        <v>37</v>
      </c>
      <c r="E46" s="1" t="s">
        <v>25</v>
      </c>
      <c r="F46" s="1" t="s">
        <v>60</v>
      </c>
      <c r="G46" s="1" t="s">
        <v>168</v>
      </c>
      <c r="H46" s="1">
        <v>11</v>
      </c>
      <c r="I46" s="1">
        <v>42009</v>
      </c>
      <c r="J46" s="1">
        <v>5461</v>
      </c>
      <c r="K46" s="1">
        <v>92</v>
      </c>
      <c r="L46" s="1" t="s">
        <v>69</v>
      </c>
      <c r="M46" s="1" t="s">
        <v>21</v>
      </c>
      <c r="N46" s="6" t="s">
        <v>28</v>
      </c>
    </row>
    <row r="47" spans="1:14" x14ac:dyDescent="0.3">
      <c r="A47" s="5" t="s">
        <v>169</v>
      </c>
      <c r="B47" s="1" t="s">
        <v>170</v>
      </c>
      <c r="C47" s="1" t="s">
        <v>16</v>
      </c>
      <c r="D47" s="1">
        <v>49</v>
      </c>
      <c r="E47" s="1" t="s">
        <v>17</v>
      </c>
      <c r="F47" s="1" t="s">
        <v>48</v>
      </c>
      <c r="G47" s="1" t="s">
        <v>171</v>
      </c>
      <c r="H47" s="1">
        <v>6</v>
      </c>
      <c r="I47" s="1">
        <v>115403</v>
      </c>
      <c r="J47" s="1">
        <v>20773</v>
      </c>
      <c r="K47" s="1">
        <v>75</v>
      </c>
      <c r="L47" s="1" t="s">
        <v>69</v>
      </c>
      <c r="M47" s="1" t="s">
        <v>21</v>
      </c>
      <c r="N47" s="6" t="s">
        <v>50</v>
      </c>
    </row>
    <row r="48" spans="1:14" x14ac:dyDescent="0.3">
      <c r="A48" s="5" t="s">
        <v>172</v>
      </c>
      <c r="B48" s="1" t="s">
        <v>173</v>
      </c>
      <c r="C48" s="1" t="s">
        <v>16</v>
      </c>
      <c r="D48" s="1">
        <v>48</v>
      </c>
      <c r="E48" s="1" t="s">
        <v>17</v>
      </c>
      <c r="F48" s="1" t="s">
        <v>48</v>
      </c>
      <c r="G48" s="1" t="s">
        <v>174</v>
      </c>
      <c r="H48" s="1">
        <v>5</v>
      </c>
      <c r="I48" s="1">
        <v>103697</v>
      </c>
      <c r="J48" s="1">
        <v>15555</v>
      </c>
      <c r="K48" s="1">
        <v>75</v>
      </c>
      <c r="L48" s="1" t="s">
        <v>34</v>
      </c>
      <c r="M48" s="1" t="s">
        <v>21</v>
      </c>
      <c r="N48" s="6" t="s">
        <v>22</v>
      </c>
    </row>
    <row r="49" spans="1:14" x14ac:dyDescent="0.3">
      <c r="A49" s="5" t="s">
        <v>175</v>
      </c>
      <c r="B49" s="1" t="s">
        <v>176</v>
      </c>
      <c r="C49" s="1" t="s">
        <v>31</v>
      </c>
      <c r="D49" s="1">
        <v>23</v>
      </c>
      <c r="E49" s="1" t="s">
        <v>47</v>
      </c>
      <c r="F49" s="1" t="s">
        <v>26</v>
      </c>
      <c r="G49" s="1" t="s">
        <v>177</v>
      </c>
      <c r="H49" s="1">
        <v>1</v>
      </c>
      <c r="I49" s="1">
        <v>42031</v>
      </c>
      <c r="J49" s="1">
        <v>7566</v>
      </c>
      <c r="K49" s="1">
        <v>80</v>
      </c>
      <c r="L49" s="1" t="s">
        <v>34</v>
      </c>
      <c r="M49" s="1" t="s">
        <v>21</v>
      </c>
      <c r="N49" s="6" t="s">
        <v>22</v>
      </c>
    </row>
    <row r="50" spans="1:14" x14ac:dyDescent="0.3">
      <c r="A50" s="5" t="s">
        <v>178</v>
      </c>
      <c r="B50" s="1" t="s">
        <v>179</v>
      </c>
      <c r="C50" s="1" t="s">
        <v>16</v>
      </c>
      <c r="D50" s="1">
        <v>37</v>
      </c>
      <c r="E50" s="1" t="s">
        <v>38</v>
      </c>
      <c r="F50" s="1" t="s">
        <v>26</v>
      </c>
      <c r="G50" s="1" t="s">
        <v>180</v>
      </c>
      <c r="H50" s="1">
        <v>15</v>
      </c>
      <c r="I50" s="1">
        <v>30980</v>
      </c>
      <c r="J50" s="1">
        <v>2788</v>
      </c>
      <c r="K50" s="1">
        <v>87</v>
      </c>
      <c r="L50" s="1" t="s">
        <v>34</v>
      </c>
      <c r="M50" s="1" t="s">
        <v>21</v>
      </c>
      <c r="N50" s="6" t="s">
        <v>35</v>
      </c>
    </row>
    <row r="51" spans="1:14" x14ac:dyDescent="0.3">
      <c r="A51" s="5" t="s">
        <v>181</v>
      </c>
      <c r="B51" s="1" t="s">
        <v>112</v>
      </c>
      <c r="C51" s="1" t="s">
        <v>16</v>
      </c>
      <c r="D51" s="1">
        <v>32</v>
      </c>
      <c r="E51" s="1" t="s">
        <v>38</v>
      </c>
      <c r="F51" s="1" t="s">
        <v>18</v>
      </c>
      <c r="G51" s="1" t="s">
        <v>182</v>
      </c>
      <c r="H51" s="1">
        <v>13</v>
      </c>
      <c r="I51" s="1">
        <v>85401</v>
      </c>
      <c r="J51" s="1">
        <v>11956</v>
      </c>
      <c r="K51" s="1">
        <v>93</v>
      </c>
      <c r="L51" s="1" t="s">
        <v>69</v>
      </c>
      <c r="M51" s="1" t="s">
        <v>21</v>
      </c>
      <c r="N51" s="6" t="s">
        <v>44</v>
      </c>
    </row>
    <row r="52" spans="1:14" x14ac:dyDescent="0.3">
      <c r="A52" s="5" t="s">
        <v>183</v>
      </c>
      <c r="B52" s="1" t="s">
        <v>184</v>
      </c>
      <c r="C52" s="1" t="s">
        <v>16</v>
      </c>
      <c r="D52" s="1">
        <v>24</v>
      </c>
      <c r="E52" s="1" t="s">
        <v>32</v>
      </c>
      <c r="F52" s="1" t="s">
        <v>26</v>
      </c>
      <c r="G52" s="1" t="s">
        <v>185</v>
      </c>
      <c r="H52" s="1">
        <v>8</v>
      </c>
      <c r="I52" s="1">
        <v>37842</v>
      </c>
      <c r="J52" s="1">
        <v>7568</v>
      </c>
      <c r="K52" s="1">
        <v>93</v>
      </c>
      <c r="L52" s="1" t="s">
        <v>20</v>
      </c>
      <c r="M52" s="1" t="s">
        <v>117</v>
      </c>
      <c r="N52" s="6" t="s">
        <v>22</v>
      </c>
    </row>
    <row r="53" spans="1:14" x14ac:dyDescent="0.3">
      <c r="A53" s="5" t="s">
        <v>186</v>
      </c>
      <c r="B53" s="1" t="s">
        <v>187</v>
      </c>
      <c r="C53" s="1" t="s">
        <v>16</v>
      </c>
      <c r="D53" s="1">
        <v>25</v>
      </c>
      <c r="E53" s="1" t="s">
        <v>17</v>
      </c>
      <c r="F53" s="1" t="s">
        <v>48</v>
      </c>
      <c r="G53" s="1" t="s">
        <v>188</v>
      </c>
      <c r="H53" s="1">
        <v>15</v>
      </c>
      <c r="I53" s="1">
        <v>66149</v>
      </c>
      <c r="J53" s="1">
        <v>8599</v>
      </c>
      <c r="K53" s="1">
        <v>78</v>
      </c>
      <c r="L53" s="1" t="s">
        <v>40</v>
      </c>
      <c r="M53" s="1" t="s">
        <v>21</v>
      </c>
      <c r="N53" s="6" t="s">
        <v>28</v>
      </c>
    </row>
    <row r="54" spans="1:14" x14ac:dyDescent="0.3">
      <c r="A54" s="5" t="s">
        <v>189</v>
      </c>
      <c r="B54" s="1" t="s">
        <v>190</v>
      </c>
      <c r="C54" s="1" t="s">
        <v>31</v>
      </c>
      <c r="D54" s="1">
        <v>31</v>
      </c>
      <c r="E54" s="1" t="s">
        <v>38</v>
      </c>
      <c r="F54" s="1" t="s">
        <v>18</v>
      </c>
      <c r="G54" s="1" t="s">
        <v>191</v>
      </c>
      <c r="H54" s="1">
        <v>11</v>
      </c>
      <c r="I54" s="1">
        <v>71978</v>
      </c>
      <c r="J54" s="1">
        <v>5038</v>
      </c>
      <c r="K54" s="1">
        <v>94</v>
      </c>
      <c r="L54" s="1" t="s">
        <v>34</v>
      </c>
      <c r="M54" s="1" t="s">
        <v>21</v>
      </c>
      <c r="N54" s="6" t="s">
        <v>28</v>
      </c>
    </row>
    <row r="55" spans="1:14" x14ac:dyDescent="0.3">
      <c r="A55" s="5" t="s">
        <v>192</v>
      </c>
      <c r="B55" s="1" t="s">
        <v>52</v>
      </c>
      <c r="C55" s="1" t="s">
        <v>31</v>
      </c>
      <c r="D55" s="1">
        <v>43</v>
      </c>
      <c r="E55" s="1" t="s">
        <v>59</v>
      </c>
      <c r="F55" s="1" t="s">
        <v>48</v>
      </c>
      <c r="G55" s="1" t="s">
        <v>193</v>
      </c>
      <c r="H55" s="1">
        <v>9</v>
      </c>
      <c r="I55" s="1">
        <v>111773</v>
      </c>
      <c r="J55" s="1">
        <v>19001</v>
      </c>
      <c r="K55" s="1">
        <v>82</v>
      </c>
      <c r="L55" s="1" t="s">
        <v>40</v>
      </c>
      <c r="M55" s="1" t="s">
        <v>21</v>
      </c>
      <c r="N55" s="6" t="s">
        <v>35</v>
      </c>
    </row>
    <row r="56" spans="1:14" x14ac:dyDescent="0.3">
      <c r="A56" s="5" t="s">
        <v>194</v>
      </c>
      <c r="B56" s="1" t="s">
        <v>195</v>
      </c>
      <c r="C56" s="1" t="s">
        <v>16</v>
      </c>
      <c r="D56" s="1">
        <v>24</v>
      </c>
      <c r="E56" s="1" t="s">
        <v>32</v>
      </c>
      <c r="F56" s="1" t="s">
        <v>26</v>
      </c>
      <c r="G56" s="1" t="s">
        <v>196</v>
      </c>
      <c r="H56" s="1">
        <v>12</v>
      </c>
      <c r="I56" s="1">
        <v>80997</v>
      </c>
      <c r="J56" s="1">
        <v>8100</v>
      </c>
      <c r="K56" s="1">
        <v>75</v>
      </c>
      <c r="L56" s="1" t="s">
        <v>69</v>
      </c>
      <c r="M56" s="1" t="s">
        <v>21</v>
      </c>
      <c r="N56" s="6" t="s">
        <v>35</v>
      </c>
    </row>
    <row r="57" spans="1:14" x14ac:dyDescent="0.3">
      <c r="A57" s="5" t="s">
        <v>197</v>
      </c>
      <c r="B57" s="1" t="s">
        <v>198</v>
      </c>
      <c r="C57" s="1" t="s">
        <v>16</v>
      </c>
      <c r="D57" s="1">
        <v>42</v>
      </c>
      <c r="E57" s="1" t="s">
        <v>32</v>
      </c>
      <c r="F57" s="1" t="s">
        <v>60</v>
      </c>
      <c r="G57" s="1" t="s">
        <v>199</v>
      </c>
      <c r="H57" s="1">
        <v>11</v>
      </c>
      <c r="I57" s="1">
        <v>69986</v>
      </c>
      <c r="J57" s="1">
        <v>6999</v>
      </c>
      <c r="K57" s="1">
        <v>91</v>
      </c>
      <c r="L57" s="1" t="s">
        <v>69</v>
      </c>
      <c r="M57" s="1" t="s">
        <v>21</v>
      </c>
      <c r="N57" s="6" t="s">
        <v>35</v>
      </c>
    </row>
    <row r="58" spans="1:14" x14ac:dyDescent="0.3">
      <c r="A58" s="5" t="s">
        <v>200</v>
      </c>
      <c r="B58" s="1" t="s">
        <v>42</v>
      </c>
      <c r="C58" s="1" t="s">
        <v>16</v>
      </c>
      <c r="D58" s="1">
        <v>37</v>
      </c>
      <c r="E58" s="1" t="s">
        <v>25</v>
      </c>
      <c r="F58" s="1" t="s">
        <v>85</v>
      </c>
      <c r="G58" s="1" t="s">
        <v>201</v>
      </c>
      <c r="H58" s="1">
        <v>14</v>
      </c>
      <c r="I58" s="1">
        <v>63150</v>
      </c>
      <c r="J58" s="1">
        <v>7578</v>
      </c>
      <c r="K58" s="1">
        <v>90</v>
      </c>
      <c r="L58" s="1" t="s">
        <v>20</v>
      </c>
      <c r="M58" s="1" t="s">
        <v>117</v>
      </c>
      <c r="N58" s="6" t="s">
        <v>35</v>
      </c>
    </row>
    <row r="59" spans="1:14" x14ac:dyDescent="0.3">
      <c r="A59" s="5" t="s">
        <v>202</v>
      </c>
      <c r="B59" s="1" t="s">
        <v>203</v>
      </c>
      <c r="C59" s="1" t="s">
        <v>16</v>
      </c>
      <c r="D59" s="1">
        <v>33</v>
      </c>
      <c r="E59" s="1" t="s">
        <v>38</v>
      </c>
      <c r="F59" s="1" t="s">
        <v>18</v>
      </c>
      <c r="G59" s="1" t="s">
        <v>204</v>
      </c>
      <c r="H59" s="1">
        <v>14</v>
      </c>
      <c r="I59" s="1">
        <v>102858</v>
      </c>
      <c r="J59" s="1">
        <v>8229</v>
      </c>
      <c r="K59" s="1">
        <v>94</v>
      </c>
      <c r="L59" s="1" t="s">
        <v>20</v>
      </c>
      <c r="M59" s="1" t="s">
        <v>117</v>
      </c>
      <c r="N59" s="6" t="s">
        <v>28</v>
      </c>
    </row>
    <row r="60" spans="1:14" x14ac:dyDescent="0.3">
      <c r="A60" s="5" t="s">
        <v>205</v>
      </c>
      <c r="B60" s="1" t="s">
        <v>28</v>
      </c>
      <c r="C60" s="1" t="s">
        <v>31</v>
      </c>
      <c r="D60" s="1">
        <v>38</v>
      </c>
      <c r="E60" s="1" t="s">
        <v>38</v>
      </c>
      <c r="F60" s="1" t="s">
        <v>48</v>
      </c>
      <c r="G60" s="1" t="s">
        <v>206</v>
      </c>
      <c r="H60" s="1">
        <v>1</v>
      </c>
      <c r="I60" s="1">
        <v>80934</v>
      </c>
      <c r="J60" s="1">
        <v>7284</v>
      </c>
      <c r="K60" s="1">
        <v>77</v>
      </c>
      <c r="L60" s="1" t="s">
        <v>34</v>
      </c>
      <c r="M60" s="1" t="s">
        <v>21</v>
      </c>
      <c r="N60" s="6" t="s">
        <v>35</v>
      </c>
    </row>
    <row r="61" spans="1:14" x14ac:dyDescent="0.3">
      <c r="A61" s="5" t="s">
        <v>207</v>
      </c>
      <c r="B61" s="1" t="s">
        <v>208</v>
      </c>
      <c r="C61" s="1" t="s">
        <v>16</v>
      </c>
      <c r="D61" s="1">
        <v>44</v>
      </c>
      <c r="E61" s="1" t="s">
        <v>25</v>
      </c>
      <c r="F61" s="1" t="s">
        <v>85</v>
      </c>
      <c r="G61" s="1" t="s">
        <v>209</v>
      </c>
      <c r="H61" s="1">
        <v>5</v>
      </c>
      <c r="I61" s="1">
        <v>115654</v>
      </c>
      <c r="J61" s="1">
        <v>5783</v>
      </c>
      <c r="K61" s="1">
        <v>93</v>
      </c>
      <c r="L61" s="1" t="s">
        <v>40</v>
      </c>
      <c r="M61" s="1" t="s">
        <v>21</v>
      </c>
      <c r="N61" s="6" t="s">
        <v>28</v>
      </c>
    </row>
    <row r="62" spans="1:14" x14ac:dyDescent="0.3">
      <c r="A62" s="5" t="s">
        <v>210</v>
      </c>
      <c r="B62" s="1" t="s">
        <v>211</v>
      </c>
      <c r="C62" s="1" t="s">
        <v>31</v>
      </c>
      <c r="D62" s="1">
        <v>24</v>
      </c>
      <c r="E62" s="1" t="s">
        <v>17</v>
      </c>
      <c r="F62" s="1" t="s">
        <v>75</v>
      </c>
      <c r="G62" s="1" t="s">
        <v>212</v>
      </c>
      <c r="H62" s="1">
        <v>10</v>
      </c>
      <c r="I62" s="1">
        <v>48783</v>
      </c>
      <c r="J62" s="1">
        <v>6342</v>
      </c>
      <c r="K62" s="1">
        <v>78</v>
      </c>
      <c r="L62" s="1" t="s">
        <v>20</v>
      </c>
      <c r="M62" s="1" t="s">
        <v>21</v>
      </c>
      <c r="N62" s="6" t="s">
        <v>44</v>
      </c>
    </row>
    <row r="63" spans="1:14" x14ac:dyDescent="0.3">
      <c r="A63" s="5" t="s">
        <v>213</v>
      </c>
      <c r="B63" s="1" t="s">
        <v>214</v>
      </c>
      <c r="C63" s="1" t="s">
        <v>16</v>
      </c>
      <c r="D63" s="1">
        <v>38</v>
      </c>
      <c r="E63" s="1" t="s">
        <v>38</v>
      </c>
      <c r="F63" s="1" t="s">
        <v>85</v>
      </c>
      <c r="G63" s="1" t="s">
        <v>215</v>
      </c>
      <c r="H63" s="1">
        <v>11</v>
      </c>
      <c r="I63" s="1">
        <v>31715</v>
      </c>
      <c r="J63" s="1">
        <v>6343</v>
      </c>
      <c r="K63" s="1">
        <v>81</v>
      </c>
      <c r="L63" s="1" t="s">
        <v>69</v>
      </c>
      <c r="M63" s="1" t="s">
        <v>21</v>
      </c>
      <c r="N63" s="6" t="s">
        <v>28</v>
      </c>
    </row>
    <row r="64" spans="1:14" x14ac:dyDescent="0.3">
      <c r="A64" s="5" t="s">
        <v>216</v>
      </c>
      <c r="B64" s="1" t="s">
        <v>208</v>
      </c>
      <c r="C64" s="1" t="s">
        <v>16</v>
      </c>
      <c r="D64" s="1">
        <v>25</v>
      </c>
      <c r="E64" s="1" t="s">
        <v>25</v>
      </c>
      <c r="F64" s="1" t="s">
        <v>67</v>
      </c>
      <c r="G64" s="1" t="s">
        <v>217</v>
      </c>
      <c r="H64" s="1">
        <v>9</v>
      </c>
      <c r="I64" s="1">
        <v>83360</v>
      </c>
      <c r="J64" s="1">
        <v>15838</v>
      </c>
      <c r="K64" s="1">
        <v>97</v>
      </c>
      <c r="L64" s="1" t="s">
        <v>20</v>
      </c>
      <c r="M64" s="1" t="s">
        <v>117</v>
      </c>
      <c r="N64" s="6" t="s">
        <v>28</v>
      </c>
    </row>
    <row r="65" spans="1:14" x14ac:dyDescent="0.3">
      <c r="A65" s="5" t="s">
        <v>218</v>
      </c>
      <c r="B65" s="1" t="s">
        <v>161</v>
      </c>
      <c r="C65" s="1" t="s">
        <v>16</v>
      </c>
      <c r="D65" s="1">
        <v>34</v>
      </c>
      <c r="E65" s="1" t="s">
        <v>47</v>
      </c>
      <c r="F65" s="1" t="s">
        <v>18</v>
      </c>
      <c r="G65" s="1" t="s">
        <v>219</v>
      </c>
      <c r="H65" s="1">
        <v>13</v>
      </c>
      <c r="I65" s="1">
        <v>41802</v>
      </c>
      <c r="J65" s="1">
        <v>7106</v>
      </c>
      <c r="K65" s="1">
        <v>78</v>
      </c>
      <c r="L65" s="1" t="s">
        <v>20</v>
      </c>
      <c r="M65" s="1" t="s">
        <v>21</v>
      </c>
      <c r="N65" s="6" t="s">
        <v>28</v>
      </c>
    </row>
    <row r="66" spans="1:14" x14ac:dyDescent="0.3">
      <c r="A66" s="5" t="s">
        <v>220</v>
      </c>
      <c r="B66" s="1" t="s">
        <v>221</v>
      </c>
      <c r="C66" s="1" t="s">
        <v>31</v>
      </c>
      <c r="D66" s="1">
        <v>47</v>
      </c>
      <c r="E66" s="1" t="s">
        <v>25</v>
      </c>
      <c r="F66" s="1" t="s">
        <v>67</v>
      </c>
      <c r="G66" s="1" t="s">
        <v>222</v>
      </c>
      <c r="H66" s="1">
        <v>3</v>
      </c>
      <c r="I66" s="1">
        <v>40962</v>
      </c>
      <c r="J66" s="1">
        <v>2048</v>
      </c>
      <c r="K66" s="1">
        <v>87</v>
      </c>
      <c r="L66" s="1" t="s">
        <v>34</v>
      </c>
      <c r="M66" s="1" t="s">
        <v>21</v>
      </c>
      <c r="N66" s="6" t="s">
        <v>22</v>
      </c>
    </row>
    <row r="67" spans="1:14" x14ac:dyDescent="0.3">
      <c r="A67" s="5" t="s">
        <v>223</v>
      </c>
      <c r="B67" s="1" t="s">
        <v>224</v>
      </c>
      <c r="C67" s="1" t="s">
        <v>31</v>
      </c>
      <c r="D67" s="1">
        <v>44</v>
      </c>
      <c r="E67" s="1" t="s">
        <v>32</v>
      </c>
      <c r="F67" s="1" t="s">
        <v>26</v>
      </c>
      <c r="G67" s="1" t="s">
        <v>225</v>
      </c>
      <c r="H67" s="1">
        <v>3</v>
      </c>
      <c r="I67" s="1">
        <v>119452</v>
      </c>
      <c r="J67" s="1">
        <v>21501</v>
      </c>
      <c r="K67" s="1">
        <v>96</v>
      </c>
      <c r="L67" s="1" t="s">
        <v>34</v>
      </c>
      <c r="M67" s="1" t="s">
        <v>21</v>
      </c>
      <c r="N67" s="6" t="s">
        <v>44</v>
      </c>
    </row>
    <row r="68" spans="1:14" x14ac:dyDescent="0.3">
      <c r="A68" s="5" t="s">
        <v>226</v>
      </c>
      <c r="B68" s="1" t="s">
        <v>227</v>
      </c>
      <c r="C68" s="1" t="s">
        <v>16</v>
      </c>
      <c r="D68" s="1">
        <v>44</v>
      </c>
      <c r="E68" s="1" t="s">
        <v>32</v>
      </c>
      <c r="F68" s="1" t="s">
        <v>85</v>
      </c>
      <c r="G68" s="1" t="s">
        <v>228</v>
      </c>
      <c r="H68" s="1">
        <v>1</v>
      </c>
      <c r="I68" s="1">
        <v>91992</v>
      </c>
      <c r="J68" s="1">
        <v>7359</v>
      </c>
      <c r="K68" s="1">
        <v>82</v>
      </c>
      <c r="L68" s="1" t="s">
        <v>40</v>
      </c>
      <c r="M68" s="1" t="s">
        <v>21</v>
      </c>
      <c r="N68" s="6" t="s">
        <v>44</v>
      </c>
    </row>
    <row r="69" spans="1:14" x14ac:dyDescent="0.3">
      <c r="A69" s="5" t="s">
        <v>229</v>
      </c>
      <c r="B69" s="1" t="s">
        <v>63</v>
      </c>
      <c r="C69" s="1" t="s">
        <v>31</v>
      </c>
      <c r="D69" s="1">
        <v>42</v>
      </c>
      <c r="E69" s="1" t="s">
        <v>38</v>
      </c>
      <c r="F69" s="1" t="s">
        <v>60</v>
      </c>
      <c r="G69" s="1" t="s">
        <v>230</v>
      </c>
      <c r="H69" s="1">
        <v>11</v>
      </c>
      <c r="I69" s="1">
        <v>94082</v>
      </c>
      <c r="J69" s="1">
        <v>15994</v>
      </c>
      <c r="K69" s="1">
        <v>85</v>
      </c>
      <c r="L69" s="1" t="s">
        <v>34</v>
      </c>
      <c r="M69" s="1" t="s">
        <v>21</v>
      </c>
      <c r="N69" s="6" t="s">
        <v>50</v>
      </c>
    </row>
    <row r="70" spans="1:14" x14ac:dyDescent="0.3">
      <c r="A70" s="5" t="s">
        <v>231</v>
      </c>
      <c r="B70" s="1" t="s">
        <v>232</v>
      </c>
      <c r="C70" s="1" t="s">
        <v>31</v>
      </c>
      <c r="D70" s="1">
        <v>37</v>
      </c>
      <c r="E70" s="1" t="s">
        <v>59</v>
      </c>
      <c r="F70" s="1" t="s">
        <v>48</v>
      </c>
      <c r="G70" s="1" t="s">
        <v>233</v>
      </c>
      <c r="H70" s="1">
        <v>14</v>
      </c>
      <c r="I70" s="1">
        <v>52859</v>
      </c>
      <c r="J70" s="1">
        <v>5286</v>
      </c>
      <c r="K70" s="1">
        <v>89</v>
      </c>
      <c r="L70" s="1" t="s">
        <v>40</v>
      </c>
      <c r="M70" s="1" t="s">
        <v>21</v>
      </c>
      <c r="N70" s="6" t="s">
        <v>35</v>
      </c>
    </row>
    <row r="71" spans="1:14" x14ac:dyDescent="0.3">
      <c r="A71" s="5" t="s">
        <v>234</v>
      </c>
      <c r="B71" s="1" t="s">
        <v>35</v>
      </c>
      <c r="C71" s="1" t="s">
        <v>31</v>
      </c>
      <c r="D71" s="1">
        <v>37</v>
      </c>
      <c r="E71" s="1" t="s">
        <v>17</v>
      </c>
      <c r="F71" s="1" t="s">
        <v>48</v>
      </c>
      <c r="G71" s="1" t="s">
        <v>235</v>
      </c>
      <c r="H71" s="1">
        <v>7</v>
      </c>
      <c r="I71" s="1">
        <v>91840</v>
      </c>
      <c r="J71" s="1">
        <v>6429</v>
      </c>
      <c r="K71" s="1">
        <v>98</v>
      </c>
      <c r="L71" s="1" t="s">
        <v>69</v>
      </c>
      <c r="M71" s="1" t="s">
        <v>21</v>
      </c>
      <c r="N71" s="6" t="s">
        <v>35</v>
      </c>
    </row>
    <row r="72" spans="1:14" x14ac:dyDescent="0.3">
      <c r="A72" s="5" t="s">
        <v>236</v>
      </c>
      <c r="B72" s="1" t="s">
        <v>237</v>
      </c>
      <c r="C72" s="1" t="s">
        <v>31</v>
      </c>
      <c r="D72" s="1">
        <v>26</v>
      </c>
      <c r="E72" s="1" t="s">
        <v>38</v>
      </c>
      <c r="F72" s="1" t="s">
        <v>75</v>
      </c>
      <c r="G72" s="1" t="s">
        <v>238</v>
      </c>
      <c r="H72" s="1">
        <v>3</v>
      </c>
      <c r="I72" s="1">
        <v>108553</v>
      </c>
      <c r="J72" s="1">
        <v>9770</v>
      </c>
      <c r="K72" s="1">
        <v>85</v>
      </c>
      <c r="L72" s="1" t="s">
        <v>20</v>
      </c>
      <c r="M72" s="1" t="s">
        <v>21</v>
      </c>
      <c r="N72" s="6" t="s">
        <v>44</v>
      </c>
    </row>
    <row r="73" spans="1:14" x14ac:dyDescent="0.3">
      <c r="A73" s="5" t="s">
        <v>239</v>
      </c>
      <c r="B73" s="1" t="s">
        <v>106</v>
      </c>
      <c r="C73" s="1" t="s">
        <v>31</v>
      </c>
      <c r="D73" s="1">
        <v>30</v>
      </c>
      <c r="E73" s="1" t="s">
        <v>38</v>
      </c>
      <c r="F73" s="1" t="s">
        <v>48</v>
      </c>
      <c r="G73" s="1" t="s">
        <v>240</v>
      </c>
      <c r="H73" s="1">
        <v>7</v>
      </c>
      <c r="I73" s="1">
        <v>59369</v>
      </c>
      <c r="J73" s="1">
        <v>4156</v>
      </c>
      <c r="K73" s="1">
        <v>95</v>
      </c>
      <c r="L73" s="1" t="s">
        <v>20</v>
      </c>
      <c r="M73" s="1" t="s">
        <v>117</v>
      </c>
      <c r="N73" s="6" t="s">
        <v>22</v>
      </c>
    </row>
    <row r="74" spans="1:14" x14ac:dyDescent="0.3">
      <c r="A74" s="5" t="s">
        <v>241</v>
      </c>
      <c r="B74" s="1" t="s">
        <v>242</v>
      </c>
      <c r="C74" s="1" t="s">
        <v>31</v>
      </c>
      <c r="D74" s="1">
        <v>46</v>
      </c>
      <c r="E74" s="1" t="s">
        <v>32</v>
      </c>
      <c r="F74" s="1" t="s">
        <v>60</v>
      </c>
      <c r="G74" s="1" t="s">
        <v>243</v>
      </c>
      <c r="H74" s="1">
        <v>7</v>
      </c>
      <c r="I74" s="1">
        <v>71413</v>
      </c>
      <c r="J74" s="1">
        <v>4999</v>
      </c>
      <c r="K74" s="1">
        <v>84</v>
      </c>
      <c r="L74" s="1" t="s">
        <v>34</v>
      </c>
      <c r="M74" s="1" t="s">
        <v>21</v>
      </c>
      <c r="N74" s="6" t="s">
        <v>35</v>
      </c>
    </row>
    <row r="75" spans="1:14" x14ac:dyDescent="0.3">
      <c r="A75" s="5" t="s">
        <v>244</v>
      </c>
      <c r="B75" s="1" t="s">
        <v>245</v>
      </c>
      <c r="C75" s="1" t="s">
        <v>16</v>
      </c>
      <c r="D75" s="1">
        <v>22</v>
      </c>
      <c r="E75" s="1" t="s">
        <v>38</v>
      </c>
      <c r="F75" s="1" t="s">
        <v>75</v>
      </c>
      <c r="G75" s="1" t="s">
        <v>246</v>
      </c>
      <c r="H75" s="1">
        <v>4</v>
      </c>
      <c r="I75" s="1">
        <v>80399</v>
      </c>
      <c r="J75" s="1">
        <v>12864</v>
      </c>
      <c r="K75" s="1">
        <v>87</v>
      </c>
      <c r="L75" s="1" t="s">
        <v>40</v>
      </c>
      <c r="M75" s="1" t="s">
        <v>21</v>
      </c>
      <c r="N75" s="6" t="s">
        <v>35</v>
      </c>
    </row>
    <row r="76" spans="1:14" x14ac:dyDescent="0.3">
      <c r="A76" s="5" t="s">
        <v>247</v>
      </c>
      <c r="B76" s="1" t="s">
        <v>248</v>
      </c>
      <c r="C76" s="1" t="s">
        <v>31</v>
      </c>
      <c r="D76" s="1">
        <v>33</v>
      </c>
      <c r="E76" s="1" t="s">
        <v>38</v>
      </c>
      <c r="F76" s="1" t="s">
        <v>85</v>
      </c>
      <c r="G76" s="1" t="s">
        <v>249</v>
      </c>
      <c r="H76" s="1">
        <v>10</v>
      </c>
      <c r="I76" s="1">
        <v>87725</v>
      </c>
      <c r="J76" s="1">
        <v>6141</v>
      </c>
      <c r="K76" s="1">
        <v>91</v>
      </c>
      <c r="L76" s="1" t="s">
        <v>69</v>
      </c>
      <c r="M76" s="1" t="s">
        <v>21</v>
      </c>
      <c r="N76" s="6" t="s">
        <v>35</v>
      </c>
    </row>
    <row r="77" spans="1:14" x14ac:dyDescent="0.3">
      <c r="A77" s="5" t="s">
        <v>250</v>
      </c>
      <c r="B77" s="1" t="s">
        <v>251</v>
      </c>
      <c r="C77" s="1" t="s">
        <v>31</v>
      </c>
      <c r="D77" s="1">
        <v>29</v>
      </c>
      <c r="E77" s="1" t="s">
        <v>38</v>
      </c>
      <c r="F77" s="1" t="s">
        <v>18</v>
      </c>
      <c r="G77" s="1" t="s">
        <v>252</v>
      </c>
      <c r="H77" s="1">
        <v>1</v>
      </c>
      <c r="I77" s="1">
        <v>91850</v>
      </c>
      <c r="J77" s="1">
        <v>11022</v>
      </c>
      <c r="K77" s="1">
        <v>92</v>
      </c>
      <c r="L77" s="1" t="s">
        <v>20</v>
      </c>
      <c r="M77" s="1" t="s">
        <v>21</v>
      </c>
      <c r="N77" s="6" t="s">
        <v>28</v>
      </c>
    </row>
    <row r="78" spans="1:14" x14ac:dyDescent="0.3">
      <c r="A78" s="5" t="s">
        <v>253</v>
      </c>
      <c r="B78" s="1" t="s">
        <v>254</v>
      </c>
      <c r="C78" s="1" t="s">
        <v>16</v>
      </c>
      <c r="D78" s="1">
        <v>38</v>
      </c>
      <c r="E78" s="1" t="s">
        <v>32</v>
      </c>
      <c r="F78" s="1" t="s">
        <v>85</v>
      </c>
      <c r="G78" s="1" t="s">
        <v>255</v>
      </c>
      <c r="H78" s="1">
        <v>2</v>
      </c>
      <c r="I78" s="1">
        <v>54253</v>
      </c>
      <c r="J78" s="1">
        <v>10851</v>
      </c>
      <c r="K78" s="1">
        <v>95</v>
      </c>
      <c r="L78" s="1" t="s">
        <v>40</v>
      </c>
      <c r="M78" s="1" t="s">
        <v>21</v>
      </c>
      <c r="N78" s="6" t="s">
        <v>50</v>
      </c>
    </row>
    <row r="79" spans="1:14" x14ac:dyDescent="0.3">
      <c r="A79" s="5" t="s">
        <v>256</v>
      </c>
      <c r="B79" s="1" t="s">
        <v>257</v>
      </c>
      <c r="C79" s="1" t="s">
        <v>16</v>
      </c>
      <c r="D79" s="1">
        <v>47</v>
      </c>
      <c r="E79" s="1" t="s">
        <v>59</v>
      </c>
      <c r="F79" s="1" t="s">
        <v>85</v>
      </c>
      <c r="G79" s="1" t="s">
        <v>258</v>
      </c>
      <c r="H79" s="1">
        <v>15</v>
      </c>
      <c r="I79" s="1">
        <v>43933</v>
      </c>
      <c r="J79" s="1">
        <v>3954</v>
      </c>
      <c r="K79" s="1">
        <v>97</v>
      </c>
      <c r="L79" s="1" t="s">
        <v>40</v>
      </c>
      <c r="M79" s="1" t="s">
        <v>21</v>
      </c>
      <c r="N79" s="6" t="s">
        <v>28</v>
      </c>
    </row>
    <row r="80" spans="1:14" x14ac:dyDescent="0.3">
      <c r="A80" s="5" t="s">
        <v>259</v>
      </c>
      <c r="B80" s="1" t="s">
        <v>260</v>
      </c>
      <c r="C80" s="1" t="s">
        <v>16</v>
      </c>
      <c r="D80" s="1">
        <v>29</v>
      </c>
      <c r="E80" s="1" t="s">
        <v>32</v>
      </c>
      <c r="F80" s="1" t="s">
        <v>18</v>
      </c>
      <c r="G80" s="1" t="s">
        <v>261</v>
      </c>
      <c r="H80" s="1">
        <v>8</v>
      </c>
      <c r="I80" s="1">
        <v>47456</v>
      </c>
      <c r="J80" s="1">
        <v>8542</v>
      </c>
      <c r="K80" s="1">
        <v>93</v>
      </c>
      <c r="L80" s="1" t="s">
        <v>69</v>
      </c>
      <c r="M80" s="1" t="s">
        <v>21</v>
      </c>
      <c r="N80" s="6" t="s">
        <v>35</v>
      </c>
    </row>
    <row r="81" spans="1:14" x14ac:dyDescent="0.3">
      <c r="A81" s="5" t="s">
        <v>262</v>
      </c>
      <c r="B81" s="1" t="s">
        <v>263</v>
      </c>
      <c r="C81" s="1" t="s">
        <v>31</v>
      </c>
      <c r="D81" s="1">
        <v>49</v>
      </c>
      <c r="E81" s="1" t="s">
        <v>32</v>
      </c>
      <c r="F81" s="1" t="s">
        <v>67</v>
      </c>
      <c r="G81" s="1" t="s">
        <v>264</v>
      </c>
      <c r="H81" s="1">
        <v>9</v>
      </c>
      <c r="I81" s="1">
        <v>113284</v>
      </c>
      <c r="J81" s="1">
        <v>12461</v>
      </c>
      <c r="K81" s="1">
        <v>85</v>
      </c>
      <c r="L81" s="1" t="s">
        <v>40</v>
      </c>
      <c r="M81" s="1" t="s">
        <v>21</v>
      </c>
      <c r="N81" s="6" t="s">
        <v>35</v>
      </c>
    </row>
    <row r="82" spans="1:14" x14ac:dyDescent="0.3">
      <c r="A82" s="5" t="s">
        <v>265</v>
      </c>
      <c r="B82" s="1" t="s">
        <v>266</v>
      </c>
      <c r="C82" s="1" t="s">
        <v>16</v>
      </c>
      <c r="D82" s="1">
        <v>42</v>
      </c>
      <c r="E82" s="1" t="s">
        <v>25</v>
      </c>
      <c r="F82" s="1" t="s">
        <v>48</v>
      </c>
      <c r="G82" s="1" t="s">
        <v>267</v>
      </c>
      <c r="H82" s="1">
        <v>4</v>
      </c>
      <c r="I82" s="1">
        <v>77531</v>
      </c>
      <c r="J82" s="1">
        <v>4652</v>
      </c>
      <c r="K82" s="1">
        <v>94</v>
      </c>
      <c r="L82" s="1" t="s">
        <v>34</v>
      </c>
      <c r="M82" s="1" t="s">
        <v>21</v>
      </c>
      <c r="N82" s="6" t="s">
        <v>35</v>
      </c>
    </row>
    <row r="83" spans="1:14" x14ac:dyDescent="0.3">
      <c r="A83" s="5" t="s">
        <v>268</v>
      </c>
      <c r="B83" s="1" t="s">
        <v>130</v>
      </c>
      <c r="C83" s="1" t="s">
        <v>16</v>
      </c>
      <c r="D83" s="1">
        <v>34</v>
      </c>
      <c r="E83" s="1" t="s">
        <v>47</v>
      </c>
      <c r="F83" s="1" t="s">
        <v>67</v>
      </c>
      <c r="G83" s="1" t="s">
        <v>269</v>
      </c>
      <c r="H83" s="1">
        <v>9</v>
      </c>
      <c r="I83" s="1">
        <v>40465</v>
      </c>
      <c r="J83" s="1">
        <v>3237</v>
      </c>
      <c r="K83" s="1">
        <v>85</v>
      </c>
      <c r="L83" s="1" t="s">
        <v>20</v>
      </c>
      <c r="M83" s="1" t="s">
        <v>21</v>
      </c>
      <c r="N83" s="6" t="s">
        <v>28</v>
      </c>
    </row>
    <row r="84" spans="1:14" x14ac:dyDescent="0.3">
      <c r="A84" s="5" t="s">
        <v>270</v>
      </c>
      <c r="B84" s="1" t="s">
        <v>37</v>
      </c>
      <c r="C84" s="1" t="s">
        <v>31</v>
      </c>
      <c r="D84" s="1">
        <v>43</v>
      </c>
      <c r="E84" s="1" t="s">
        <v>32</v>
      </c>
      <c r="F84" s="1" t="s">
        <v>75</v>
      </c>
      <c r="G84" s="1" t="s">
        <v>271</v>
      </c>
      <c r="H84" s="1">
        <v>1</v>
      </c>
      <c r="I84" s="1">
        <v>42371</v>
      </c>
      <c r="J84" s="1">
        <v>8050</v>
      </c>
      <c r="K84" s="1">
        <v>82</v>
      </c>
      <c r="L84" s="1" t="s">
        <v>20</v>
      </c>
      <c r="M84" s="1" t="s">
        <v>21</v>
      </c>
      <c r="N84" s="6" t="s">
        <v>50</v>
      </c>
    </row>
    <row r="85" spans="1:14" x14ac:dyDescent="0.3">
      <c r="A85" s="5" t="s">
        <v>272</v>
      </c>
      <c r="B85" s="1" t="s">
        <v>248</v>
      </c>
      <c r="C85" s="1" t="s">
        <v>16</v>
      </c>
      <c r="D85" s="1">
        <v>48</v>
      </c>
      <c r="E85" s="1" t="s">
        <v>17</v>
      </c>
      <c r="F85" s="1" t="s">
        <v>75</v>
      </c>
      <c r="G85" s="1" t="s">
        <v>273</v>
      </c>
      <c r="H85" s="1">
        <v>14</v>
      </c>
      <c r="I85" s="1">
        <v>37757</v>
      </c>
      <c r="J85" s="1">
        <v>3398</v>
      </c>
      <c r="K85" s="1">
        <v>81</v>
      </c>
      <c r="L85" s="1" t="s">
        <v>34</v>
      </c>
      <c r="M85" s="1" t="s">
        <v>21</v>
      </c>
      <c r="N85" s="6" t="s">
        <v>22</v>
      </c>
    </row>
    <row r="86" spans="1:14" x14ac:dyDescent="0.3">
      <c r="A86" s="5" t="s">
        <v>274</v>
      </c>
      <c r="B86" s="1" t="s">
        <v>164</v>
      </c>
      <c r="C86" s="1" t="s">
        <v>16</v>
      </c>
      <c r="D86" s="1">
        <v>30</v>
      </c>
      <c r="E86" s="1" t="s">
        <v>38</v>
      </c>
      <c r="F86" s="1" t="s">
        <v>67</v>
      </c>
      <c r="G86" s="1" t="s">
        <v>275</v>
      </c>
      <c r="H86" s="1">
        <v>13</v>
      </c>
      <c r="I86" s="1">
        <v>95084</v>
      </c>
      <c r="J86" s="1">
        <v>18066</v>
      </c>
      <c r="K86" s="1">
        <v>83</v>
      </c>
      <c r="L86" s="1" t="s">
        <v>20</v>
      </c>
      <c r="M86" s="1" t="s">
        <v>21</v>
      </c>
      <c r="N86" s="6" t="s">
        <v>22</v>
      </c>
    </row>
    <row r="87" spans="1:14" x14ac:dyDescent="0.3">
      <c r="A87" s="5" t="s">
        <v>276</v>
      </c>
      <c r="B87" s="1" t="s">
        <v>15</v>
      </c>
      <c r="C87" s="1" t="s">
        <v>31</v>
      </c>
      <c r="D87" s="1">
        <v>32</v>
      </c>
      <c r="E87" s="1" t="s">
        <v>47</v>
      </c>
      <c r="F87" s="1" t="s">
        <v>85</v>
      </c>
      <c r="G87" s="1" t="s">
        <v>43</v>
      </c>
      <c r="H87" s="1">
        <v>8</v>
      </c>
      <c r="I87" s="1">
        <v>113997</v>
      </c>
      <c r="J87" s="1">
        <v>11400</v>
      </c>
      <c r="K87" s="1">
        <v>77</v>
      </c>
      <c r="L87" s="1" t="s">
        <v>20</v>
      </c>
      <c r="M87" s="1" t="s">
        <v>21</v>
      </c>
      <c r="N87" s="6" t="s">
        <v>28</v>
      </c>
    </row>
    <row r="88" spans="1:14" x14ac:dyDescent="0.3">
      <c r="A88" s="5" t="s">
        <v>277</v>
      </c>
      <c r="B88" s="1" t="s">
        <v>100</v>
      </c>
      <c r="C88" s="1" t="s">
        <v>16</v>
      </c>
      <c r="D88" s="1">
        <v>39</v>
      </c>
      <c r="E88" s="1" t="s">
        <v>17</v>
      </c>
      <c r="F88" s="1" t="s">
        <v>75</v>
      </c>
      <c r="G88" s="1" t="s">
        <v>278</v>
      </c>
      <c r="H88" s="1">
        <v>12</v>
      </c>
      <c r="I88" s="1">
        <v>81409</v>
      </c>
      <c r="J88" s="1">
        <v>4070</v>
      </c>
      <c r="K88" s="1">
        <v>98</v>
      </c>
      <c r="L88" s="1" t="s">
        <v>69</v>
      </c>
      <c r="M88" s="1" t="s">
        <v>21</v>
      </c>
      <c r="N88" s="6" t="s">
        <v>44</v>
      </c>
    </row>
    <row r="89" spans="1:14" x14ac:dyDescent="0.3">
      <c r="A89" s="5" t="s">
        <v>279</v>
      </c>
      <c r="B89" s="1" t="s">
        <v>280</v>
      </c>
      <c r="C89" s="1" t="s">
        <v>31</v>
      </c>
      <c r="D89" s="1">
        <v>33</v>
      </c>
      <c r="E89" s="1" t="s">
        <v>59</v>
      </c>
      <c r="F89" s="1" t="s">
        <v>85</v>
      </c>
      <c r="G89" s="1" t="s">
        <v>281</v>
      </c>
      <c r="H89" s="1">
        <v>5</v>
      </c>
      <c r="I89" s="1">
        <v>104974</v>
      </c>
      <c r="J89" s="1">
        <v>6298</v>
      </c>
      <c r="K89" s="1">
        <v>86</v>
      </c>
      <c r="L89" s="1" t="s">
        <v>40</v>
      </c>
      <c r="M89" s="1" t="s">
        <v>21</v>
      </c>
      <c r="N89" s="6" t="s">
        <v>44</v>
      </c>
    </row>
    <row r="90" spans="1:14" x14ac:dyDescent="0.3">
      <c r="A90" s="5" t="s">
        <v>282</v>
      </c>
      <c r="B90" s="1" t="s">
        <v>283</v>
      </c>
      <c r="C90" s="1" t="s">
        <v>16</v>
      </c>
      <c r="D90" s="1">
        <v>30</v>
      </c>
      <c r="E90" s="1" t="s">
        <v>17</v>
      </c>
      <c r="F90" s="1" t="s">
        <v>85</v>
      </c>
      <c r="G90" s="1" t="s">
        <v>284</v>
      </c>
      <c r="H90" s="1">
        <v>11</v>
      </c>
      <c r="I90" s="1">
        <v>71832</v>
      </c>
      <c r="J90" s="1">
        <v>10056</v>
      </c>
      <c r="K90" s="1">
        <v>99</v>
      </c>
      <c r="L90" s="1" t="s">
        <v>34</v>
      </c>
      <c r="M90" s="1" t="s">
        <v>21</v>
      </c>
      <c r="N90" s="6" t="s">
        <v>44</v>
      </c>
    </row>
    <row r="91" spans="1:14" x14ac:dyDescent="0.3">
      <c r="A91" s="5" t="s">
        <v>285</v>
      </c>
      <c r="B91" s="1" t="s">
        <v>286</v>
      </c>
      <c r="C91" s="1" t="s">
        <v>31</v>
      </c>
      <c r="D91" s="1">
        <v>49</v>
      </c>
      <c r="E91" s="1" t="s">
        <v>38</v>
      </c>
      <c r="F91" s="1" t="s">
        <v>26</v>
      </c>
      <c r="G91" s="1" t="s">
        <v>287</v>
      </c>
      <c r="H91" s="1">
        <v>4</v>
      </c>
      <c r="I91" s="1">
        <v>71239</v>
      </c>
      <c r="J91" s="1">
        <v>9261</v>
      </c>
      <c r="K91" s="1">
        <v>89</v>
      </c>
      <c r="L91" s="1" t="s">
        <v>34</v>
      </c>
      <c r="M91" s="1" t="s">
        <v>21</v>
      </c>
      <c r="N91" s="6" t="s">
        <v>35</v>
      </c>
    </row>
    <row r="92" spans="1:14" x14ac:dyDescent="0.3">
      <c r="A92" s="5" t="s">
        <v>288</v>
      </c>
      <c r="B92" s="1" t="s">
        <v>289</v>
      </c>
      <c r="C92" s="1" t="s">
        <v>16</v>
      </c>
      <c r="D92" s="1">
        <v>47</v>
      </c>
      <c r="E92" s="1" t="s">
        <v>32</v>
      </c>
      <c r="F92" s="1" t="s">
        <v>85</v>
      </c>
      <c r="G92" s="1" t="s">
        <v>290</v>
      </c>
      <c r="H92" s="1">
        <v>14</v>
      </c>
      <c r="I92" s="1">
        <v>26556</v>
      </c>
      <c r="J92" s="1">
        <v>2390</v>
      </c>
      <c r="K92" s="1">
        <v>93</v>
      </c>
      <c r="L92" s="1" t="s">
        <v>20</v>
      </c>
      <c r="M92" s="1" t="s">
        <v>117</v>
      </c>
      <c r="N92" s="6" t="s">
        <v>22</v>
      </c>
    </row>
    <row r="93" spans="1:14" x14ac:dyDescent="0.3">
      <c r="A93" s="5" t="s">
        <v>291</v>
      </c>
      <c r="B93" s="1" t="s">
        <v>292</v>
      </c>
      <c r="C93" s="1" t="s">
        <v>31</v>
      </c>
      <c r="D93" s="1">
        <v>49</v>
      </c>
      <c r="E93" s="1" t="s">
        <v>25</v>
      </c>
      <c r="F93" s="1" t="s">
        <v>75</v>
      </c>
      <c r="G93" s="1" t="s">
        <v>293</v>
      </c>
      <c r="H93" s="1">
        <v>15</v>
      </c>
      <c r="I93" s="1">
        <v>40172</v>
      </c>
      <c r="J93" s="1">
        <v>5222</v>
      </c>
      <c r="K93" s="1">
        <v>99</v>
      </c>
      <c r="L93" s="1" t="s">
        <v>34</v>
      </c>
      <c r="M93" s="1" t="s">
        <v>21</v>
      </c>
      <c r="N93" s="6" t="s">
        <v>22</v>
      </c>
    </row>
    <row r="94" spans="1:14" x14ac:dyDescent="0.3">
      <c r="A94" s="5" t="s">
        <v>294</v>
      </c>
      <c r="B94" s="1" t="s">
        <v>164</v>
      </c>
      <c r="C94" s="1" t="s">
        <v>16</v>
      </c>
      <c r="D94" s="1">
        <v>47</v>
      </c>
      <c r="E94" s="1" t="s">
        <v>38</v>
      </c>
      <c r="F94" s="1" t="s">
        <v>48</v>
      </c>
      <c r="G94" s="1" t="s">
        <v>295</v>
      </c>
      <c r="H94" s="1">
        <v>0</v>
      </c>
      <c r="I94" s="1">
        <v>39844</v>
      </c>
      <c r="J94" s="1">
        <v>2789</v>
      </c>
      <c r="K94" s="1">
        <v>90</v>
      </c>
      <c r="L94" s="1" t="s">
        <v>69</v>
      </c>
      <c r="M94" s="1" t="s">
        <v>21</v>
      </c>
      <c r="N94" s="6" t="s">
        <v>44</v>
      </c>
    </row>
    <row r="95" spans="1:14" x14ac:dyDescent="0.3">
      <c r="A95" s="5" t="s">
        <v>296</v>
      </c>
      <c r="B95" s="1" t="s">
        <v>297</v>
      </c>
      <c r="C95" s="1" t="s">
        <v>16</v>
      </c>
      <c r="D95" s="1">
        <v>33</v>
      </c>
      <c r="E95" s="1" t="s">
        <v>17</v>
      </c>
      <c r="F95" s="1" t="s">
        <v>60</v>
      </c>
      <c r="G95" s="1" t="s">
        <v>298</v>
      </c>
      <c r="H95" s="1">
        <v>0</v>
      </c>
      <c r="I95" s="1">
        <v>79640</v>
      </c>
      <c r="J95" s="1">
        <v>11946</v>
      </c>
      <c r="K95" s="1">
        <v>75</v>
      </c>
      <c r="L95" s="1" t="s">
        <v>20</v>
      </c>
      <c r="M95" s="1" t="s">
        <v>21</v>
      </c>
      <c r="N95" s="6" t="s">
        <v>50</v>
      </c>
    </row>
    <row r="96" spans="1:14" x14ac:dyDescent="0.3">
      <c r="A96" s="5" t="s">
        <v>299</v>
      </c>
      <c r="B96" s="1" t="s">
        <v>300</v>
      </c>
      <c r="C96" s="1" t="s">
        <v>31</v>
      </c>
      <c r="D96" s="1">
        <v>36</v>
      </c>
      <c r="E96" s="1" t="s">
        <v>17</v>
      </c>
      <c r="F96" s="1" t="s">
        <v>75</v>
      </c>
      <c r="G96" s="1" t="s">
        <v>301</v>
      </c>
      <c r="H96" s="1">
        <v>6</v>
      </c>
      <c r="I96" s="1">
        <v>55675</v>
      </c>
      <c r="J96" s="1">
        <v>7238</v>
      </c>
      <c r="K96" s="1">
        <v>98</v>
      </c>
      <c r="L96" s="1" t="s">
        <v>34</v>
      </c>
      <c r="M96" s="1" t="s">
        <v>21</v>
      </c>
      <c r="N96" s="6" t="s">
        <v>22</v>
      </c>
    </row>
    <row r="97" spans="1:14" x14ac:dyDescent="0.3">
      <c r="A97" s="5" t="s">
        <v>302</v>
      </c>
      <c r="B97" s="1" t="s">
        <v>179</v>
      </c>
      <c r="C97" s="1" t="s">
        <v>16</v>
      </c>
      <c r="D97" s="1">
        <v>42</v>
      </c>
      <c r="E97" s="1" t="s">
        <v>47</v>
      </c>
      <c r="F97" s="1" t="s">
        <v>60</v>
      </c>
      <c r="G97" s="1" t="s">
        <v>303</v>
      </c>
      <c r="H97" s="1">
        <v>8</v>
      </c>
      <c r="I97" s="1">
        <v>101067</v>
      </c>
      <c r="J97" s="1">
        <v>9096</v>
      </c>
      <c r="K97" s="1">
        <v>94</v>
      </c>
      <c r="L97" s="1" t="s">
        <v>20</v>
      </c>
      <c r="M97" s="1" t="s">
        <v>117</v>
      </c>
      <c r="N97" s="6" t="s">
        <v>22</v>
      </c>
    </row>
    <row r="98" spans="1:14" x14ac:dyDescent="0.3">
      <c r="A98" s="5" t="s">
        <v>304</v>
      </c>
      <c r="B98" s="1" t="s">
        <v>305</v>
      </c>
      <c r="C98" s="1" t="s">
        <v>16</v>
      </c>
      <c r="D98" s="1">
        <v>46</v>
      </c>
      <c r="E98" s="1" t="s">
        <v>32</v>
      </c>
      <c r="F98" s="1" t="s">
        <v>18</v>
      </c>
      <c r="G98" s="1" t="s">
        <v>306</v>
      </c>
      <c r="H98" s="1">
        <v>4</v>
      </c>
      <c r="I98" s="1">
        <v>113763</v>
      </c>
      <c r="J98" s="1">
        <v>9101</v>
      </c>
      <c r="K98" s="1">
        <v>85</v>
      </c>
      <c r="L98" s="1" t="s">
        <v>34</v>
      </c>
      <c r="M98" s="1" t="s">
        <v>21</v>
      </c>
      <c r="N98" s="6" t="s">
        <v>35</v>
      </c>
    </row>
    <row r="99" spans="1:14" x14ac:dyDescent="0.3">
      <c r="A99" s="5" t="s">
        <v>307</v>
      </c>
      <c r="B99" s="1" t="s">
        <v>308</v>
      </c>
      <c r="C99" s="1" t="s">
        <v>16</v>
      </c>
      <c r="D99" s="1">
        <v>41</v>
      </c>
      <c r="E99" s="1" t="s">
        <v>25</v>
      </c>
      <c r="F99" s="1" t="s">
        <v>18</v>
      </c>
      <c r="G99" s="1" t="s">
        <v>309</v>
      </c>
      <c r="H99" s="1">
        <v>15</v>
      </c>
      <c r="I99" s="1">
        <v>113858</v>
      </c>
      <c r="J99" s="1">
        <v>18217</v>
      </c>
      <c r="K99" s="1">
        <v>94</v>
      </c>
      <c r="L99" s="1" t="s">
        <v>20</v>
      </c>
      <c r="M99" s="1" t="s">
        <v>117</v>
      </c>
      <c r="N99" s="6" t="s">
        <v>28</v>
      </c>
    </row>
    <row r="100" spans="1:14" x14ac:dyDescent="0.3">
      <c r="A100" s="5" t="s">
        <v>310</v>
      </c>
      <c r="B100" s="1" t="s">
        <v>127</v>
      </c>
      <c r="C100" s="1" t="s">
        <v>31</v>
      </c>
      <c r="D100" s="1">
        <v>42</v>
      </c>
      <c r="E100" s="1" t="s">
        <v>59</v>
      </c>
      <c r="F100" s="1" t="s">
        <v>26</v>
      </c>
      <c r="G100" s="1" t="s">
        <v>311</v>
      </c>
      <c r="H100" s="1">
        <v>14</v>
      </c>
      <c r="I100" s="1">
        <v>70517</v>
      </c>
      <c r="J100" s="1">
        <v>8462</v>
      </c>
      <c r="K100" s="1">
        <v>97</v>
      </c>
      <c r="L100" s="1" t="s">
        <v>69</v>
      </c>
      <c r="M100" s="1" t="s">
        <v>21</v>
      </c>
      <c r="N100" s="6" t="s">
        <v>44</v>
      </c>
    </row>
    <row r="101" spans="1:14" x14ac:dyDescent="0.3">
      <c r="A101" s="5" t="s">
        <v>312</v>
      </c>
      <c r="B101" s="1" t="s">
        <v>66</v>
      </c>
      <c r="C101" s="1" t="s">
        <v>16</v>
      </c>
      <c r="D101" s="1">
        <v>45</v>
      </c>
      <c r="E101" s="1" t="s">
        <v>59</v>
      </c>
      <c r="F101" s="1" t="s">
        <v>26</v>
      </c>
      <c r="G101" s="1" t="s">
        <v>313</v>
      </c>
      <c r="H101" s="1">
        <v>9</v>
      </c>
      <c r="I101" s="1">
        <v>46066</v>
      </c>
      <c r="J101" s="1">
        <v>2303</v>
      </c>
      <c r="K101" s="1">
        <v>75</v>
      </c>
      <c r="L101" s="1" t="s">
        <v>40</v>
      </c>
      <c r="M101" s="1" t="s">
        <v>21</v>
      </c>
      <c r="N101" s="6" t="s">
        <v>22</v>
      </c>
    </row>
    <row r="102" spans="1:14" x14ac:dyDescent="0.3">
      <c r="A102" s="5" t="s">
        <v>314</v>
      </c>
      <c r="B102" s="1" t="s">
        <v>280</v>
      </c>
      <c r="C102" s="1" t="s">
        <v>31</v>
      </c>
      <c r="D102" s="1">
        <v>32</v>
      </c>
      <c r="E102" s="1" t="s">
        <v>59</v>
      </c>
      <c r="F102" s="1" t="s">
        <v>48</v>
      </c>
      <c r="G102" s="1" t="s">
        <v>315</v>
      </c>
      <c r="H102" s="1">
        <v>9</v>
      </c>
      <c r="I102" s="1">
        <v>41192</v>
      </c>
      <c r="J102" s="1">
        <v>6179</v>
      </c>
      <c r="K102" s="1">
        <v>96</v>
      </c>
      <c r="L102" s="1" t="s">
        <v>34</v>
      </c>
      <c r="M102" s="1" t="s">
        <v>21</v>
      </c>
      <c r="N102" s="6" t="s">
        <v>35</v>
      </c>
    </row>
    <row r="103" spans="1:14" x14ac:dyDescent="0.3">
      <c r="A103" s="5" t="s">
        <v>316</v>
      </c>
      <c r="B103" s="1" t="s">
        <v>251</v>
      </c>
      <c r="C103" s="1" t="s">
        <v>16</v>
      </c>
      <c r="D103" s="1">
        <v>48</v>
      </c>
      <c r="E103" s="1" t="s">
        <v>32</v>
      </c>
      <c r="F103" s="1" t="s">
        <v>26</v>
      </c>
      <c r="G103" s="1" t="s">
        <v>317</v>
      </c>
      <c r="H103" s="1">
        <v>1</v>
      </c>
      <c r="I103" s="1">
        <v>85193</v>
      </c>
      <c r="J103" s="1">
        <v>5964</v>
      </c>
      <c r="K103" s="1">
        <v>82</v>
      </c>
      <c r="L103" s="1" t="s">
        <v>20</v>
      </c>
      <c r="M103" s="1" t="s">
        <v>21</v>
      </c>
      <c r="N103" s="6" t="s">
        <v>35</v>
      </c>
    </row>
    <row r="104" spans="1:14" x14ac:dyDescent="0.3">
      <c r="A104" s="5" t="s">
        <v>318</v>
      </c>
      <c r="B104" s="1" t="s">
        <v>319</v>
      </c>
      <c r="C104" s="1" t="s">
        <v>16</v>
      </c>
      <c r="D104" s="1">
        <v>50</v>
      </c>
      <c r="E104" s="1" t="s">
        <v>32</v>
      </c>
      <c r="F104" s="1" t="s">
        <v>85</v>
      </c>
      <c r="G104" s="1" t="s">
        <v>320</v>
      </c>
      <c r="H104" s="1">
        <v>7</v>
      </c>
      <c r="I104" s="1">
        <v>96911</v>
      </c>
      <c r="J104" s="1">
        <v>14537</v>
      </c>
      <c r="K104" s="1">
        <v>77</v>
      </c>
      <c r="L104" s="1" t="s">
        <v>34</v>
      </c>
      <c r="M104" s="1" t="s">
        <v>21</v>
      </c>
      <c r="N104" s="6" t="s">
        <v>44</v>
      </c>
    </row>
    <row r="105" spans="1:14" x14ac:dyDescent="0.3">
      <c r="A105" s="5" t="s">
        <v>321</v>
      </c>
      <c r="B105" s="1" t="s">
        <v>322</v>
      </c>
      <c r="C105" s="1" t="s">
        <v>16</v>
      </c>
      <c r="D105" s="1">
        <v>31</v>
      </c>
      <c r="E105" s="1" t="s">
        <v>17</v>
      </c>
      <c r="F105" s="1" t="s">
        <v>18</v>
      </c>
      <c r="G105" s="1" t="s">
        <v>323</v>
      </c>
      <c r="H105" s="1">
        <v>4</v>
      </c>
      <c r="I105" s="1">
        <v>71132</v>
      </c>
      <c r="J105" s="1">
        <v>10670</v>
      </c>
      <c r="K105" s="1">
        <v>84</v>
      </c>
      <c r="L105" s="1" t="s">
        <v>34</v>
      </c>
      <c r="M105" s="1" t="s">
        <v>21</v>
      </c>
      <c r="N105" s="6" t="s">
        <v>28</v>
      </c>
    </row>
    <row r="106" spans="1:14" x14ac:dyDescent="0.3">
      <c r="A106" s="5" t="s">
        <v>324</v>
      </c>
      <c r="B106" s="1" t="s">
        <v>145</v>
      </c>
      <c r="C106" s="1" t="s">
        <v>31</v>
      </c>
      <c r="D106" s="1">
        <v>37</v>
      </c>
      <c r="E106" s="1" t="s">
        <v>25</v>
      </c>
      <c r="F106" s="1" t="s">
        <v>26</v>
      </c>
      <c r="G106" s="1" t="s">
        <v>325</v>
      </c>
      <c r="H106" s="1">
        <v>12</v>
      </c>
      <c r="I106" s="1">
        <v>96034</v>
      </c>
      <c r="J106" s="1">
        <v>14405</v>
      </c>
      <c r="K106" s="1">
        <v>96</v>
      </c>
      <c r="L106" s="1" t="s">
        <v>34</v>
      </c>
      <c r="M106" s="1" t="s">
        <v>21</v>
      </c>
      <c r="N106" s="6" t="s">
        <v>44</v>
      </c>
    </row>
    <row r="107" spans="1:14" x14ac:dyDescent="0.3">
      <c r="A107" s="5" t="s">
        <v>326</v>
      </c>
      <c r="B107" s="1" t="s">
        <v>327</v>
      </c>
      <c r="C107" s="1" t="s">
        <v>16</v>
      </c>
      <c r="D107" s="1">
        <v>23</v>
      </c>
      <c r="E107" s="1" t="s">
        <v>32</v>
      </c>
      <c r="F107" s="1" t="s">
        <v>67</v>
      </c>
      <c r="G107" s="1" t="s">
        <v>328</v>
      </c>
      <c r="H107" s="1">
        <v>9</v>
      </c>
      <c r="I107" s="1">
        <v>78175</v>
      </c>
      <c r="J107" s="1">
        <v>4690</v>
      </c>
      <c r="K107" s="1">
        <v>91</v>
      </c>
      <c r="L107" s="1" t="s">
        <v>69</v>
      </c>
      <c r="M107" s="1" t="s">
        <v>21</v>
      </c>
      <c r="N107" s="6" t="s">
        <v>35</v>
      </c>
    </row>
    <row r="108" spans="1:14" x14ac:dyDescent="0.3">
      <c r="A108" s="5" t="s">
        <v>329</v>
      </c>
      <c r="B108" s="1" t="s">
        <v>330</v>
      </c>
      <c r="C108" s="1" t="s">
        <v>31</v>
      </c>
      <c r="D108" s="1">
        <v>50</v>
      </c>
      <c r="E108" s="1" t="s">
        <v>17</v>
      </c>
      <c r="F108" s="1" t="s">
        <v>18</v>
      </c>
      <c r="G108" s="1" t="s">
        <v>331</v>
      </c>
      <c r="H108" s="1">
        <v>11</v>
      </c>
      <c r="I108" s="1">
        <v>81661</v>
      </c>
      <c r="J108" s="1">
        <v>13882</v>
      </c>
      <c r="K108" s="1">
        <v>80</v>
      </c>
      <c r="L108" s="1" t="s">
        <v>20</v>
      </c>
      <c r="M108" s="1" t="s">
        <v>21</v>
      </c>
      <c r="N108" s="6" t="s">
        <v>44</v>
      </c>
    </row>
    <row r="109" spans="1:14" x14ac:dyDescent="0.3">
      <c r="A109" s="5" t="s">
        <v>332</v>
      </c>
      <c r="B109" s="1" t="s">
        <v>330</v>
      </c>
      <c r="C109" s="1" t="s">
        <v>31</v>
      </c>
      <c r="D109" s="1">
        <v>33</v>
      </c>
      <c r="E109" s="1" t="s">
        <v>32</v>
      </c>
      <c r="F109" s="1" t="s">
        <v>67</v>
      </c>
      <c r="G109" s="1" t="s">
        <v>333</v>
      </c>
      <c r="H109" s="1">
        <v>9</v>
      </c>
      <c r="I109" s="1">
        <v>67184</v>
      </c>
      <c r="J109" s="1">
        <v>6718</v>
      </c>
      <c r="K109" s="1">
        <v>98</v>
      </c>
      <c r="L109" s="1" t="s">
        <v>69</v>
      </c>
      <c r="M109" s="1" t="s">
        <v>21</v>
      </c>
      <c r="N109" s="6" t="s">
        <v>22</v>
      </c>
    </row>
    <row r="110" spans="1:14" x14ac:dyDescent="0.3">
      <c r="A110" s="5" t="s">
        <v>334</v>
      </c>
      <c r="B110" s="1" t="s">
        <v>335</v>
      </c>
      <c r="C110" s="1" t="s">
        <v>31</v>
      </c>
      <c r="D110" s="1">
        <v>49</v>
      </c>
      <c r="E110" s="1" t="s">
        <v>17</v>
      </c>
      <c r="F110" s="1" t="s">
        <v>85</v>
      </c>
      <c r="G110" s="1" t="s">
        <v>336</v>
      </c>
      <c r="H110" s="1">
        <v>0</v>
      </c>
      <c r="I110" s="1">
        <v>69593</v>
      </c>
      <c r="J110" s="1">
        <v>9047</v>
      </c>
      <c r="K110" s="1">
        <v>78</v>
      </c>
      <c r="L110" s="1" t="s">
        <v>69</v>
      </c>
      <c r="M110" s="1" t="s">
        <v>21</v>
      </c>
      <c r="N110" s="6" t="s">
        <v>22</v>
      </c>
    </row>
    <row r="111" spans="1:14" x14ac:dyDescent="0.3">
      <c r="A111" s="5" t="s">
        <v>337</v>
      </c>
      <c r="B111" s="1" t="s">
        <v>338</v>
      </c>
      <c r="C111" s="1" t="s">
        <v>16</v>
      </c>
      <c r="D111" s="1">
        <v>28</v>
      </c>
      <c r="E111" s="1" t="s">
        <v>47</v>
      </c>
      <c r="F111" s="1" t="s">
        <v>67</v>
      </c>
      <c r="G111" s="1" t="s">
        <v>339</v>
      </c>
      <c r="H111" s="1">
        <v>1</v>
      </c>
      <c r="I111" s="1">
        <v>33950</v>
      </c>
      <c r="J111" s="1">
        <v>5092</v>
      </c>
      <c r="K111" s="1">
        <v>100</v>
      </c>
      <c r="L111" s="1" t="s">
        <v>69</v>
      </c>
      <c r="M111" s="1" t="s">
        <v>21</v>
      </c>
      <c r="N111" s="6" t="s">
        <v>28</v>
      </c>
    </row>
    <row r="112" spans="1:14" x14ac:dyDescent="0.3">
      <c r="A112" s="5" t="s">
        <v>340</v>
      </c>
      <c r="B112" s="1" t="s">
        <v>22</v>
      </c>
      <c r="C112" s="1" t="s">
        <v>16</v>
      </c>
      <c r="D112" s="1">
        <v>50</v>
      </c>
      <c r="E112" s="1" t="s">
        <v>38</v>
      </c>
      <c r="F112" s="1" t="s">
        <v>60</v>
      </c>
      <c r="G112" s="1" t="s">
        <v>341</v>
      </c>
      <c r="H112" s="1">
        <v>12</v>
      </c>
      <c r="I112" s="1">
        <v>32572</v>
      </c>
      <c r="J112" s="1">
        <v>3909</v>
      </c>
      <c r="K112" s="1">
        <v>80</v>
      </c>
      <c r="L112" s="1" t="s">
        <v>69</v>
      </c>
      <c r="M112" s="1" t="s">
        <v>21</v>
      </c>
      <c r="N112" s="6" t="s">
        <v>50</v>
      </c>
    </row>
    <row r="113" spans="1:14" x14ac:dyDescent="0.3">
      <c r="A113" s="5" t="s">
        <v>342</v>
      </c>
      <c r="B113" s="1" t="s">
        <v>308</v>
      </c>
      <c r="C113" s="1" t="s">
        <v>16</v>
      </c>
      <c r="D113" s="1">
        <v>43</v>
      </c>
      <c r="E113" s="1" t="s">
        <v>59</v>
      </c>
      <c r="F113" s="1" t="s">
        <v>26</v>
      </c>
      <c r="G113" s="1" t="s">
        <v>343</v>
      </c>
      <c r="H113" s="1">
        <v>10</v>
      </c>
      <c r="I113" s="1">
        <v>62860</v>
      </c>
      <c r="J113" s="1">
        <v>6286</v>
      </c>
      <c r="K113" s="1">
        <v>89</v>
      </c>
      <c r="L113" s="1" t="s">
        <v>20</v>
      </c>
      <c r="M113" s="1" t="s">
        <v>21</v>
      </c>
      <c r="N113" s="6" t="s">
        <v>50</v>
      </c>
    </row>
    <row r="114" spans="1:14" x14ac:dyDescent="0.3">
      <c r="A114" s="5" t="s">
        <v>344</v>
      </c>
      <c r="B114" s="1" t="s">
        <v>345</v>
      </c>
      <c r="C114" s="1" t="s">
        <v>16</v>
      </c>
      <c r="D114" s="1">
        <v>38</v>
      </c>
      <c r="E114" s="1" t="s">
        <v>32</v>
      </c>
      <c r="F114" s="1" t="s">
        <v>60</v>
      </c>
      <c r="G114" s="1" t="s">
        <v>346</v>
      </c>
      <c r="H114" s="1">
        <v>5</v>
      </c>
      <c r="I114" s="1">
        <v>82238</v>
      </c>
      <c r="J114" s="1">
        <v>15625</v>
      </c>
      <c r="K114" s="1">
        <v>95</v>
      </c>
      <c r="L114" s="1" t="s">
        <v>69</v>
      </c>
      <c r="M114" s="1" t="s">
        <v>21</v>
      </c>
      <c r="N114" s="6" t="s">
        <v>22</v>
      </c>
    </row>
    <row r="115" spans="1:14" x14ac:dyDescent="0.3">
      <c r="A115" s="5" t="s">
        <v>347</v>
      </c>
      <c r="B115" s="1" t="s">
        <v>348</v>
      </c>
      <c r="C115" s="1" t="s">
        <v>16</v>
      </c>
      <c r="D115" s="1">
        <v>34</v>
      </c>
      <c r="E115" s="1" t="s">
        <v>47</v>
      </c>
      <c r="F115" s="1" t="s">
        <v>60</v>
      </c>
      <c r="G115" s="1" t="s">
        <v>98</v>
      </c>
      <c r="H115" s="1">
        <v>15</v>
      </c>
      <c r="I115" s="1">
        <v>59022</v>
      </c>
      <c r="J115" s="1">
        <v>7673</v>
      </c>
      <c r="K115" s="1">
        <v>89</v>
      </c>
      <c r="L115" s="1" t="s">
        <v>69</v>
      </c>
      <c r="M115" s="1" t="s">
        <v>21</v>
      </c>
      <c r="N115" s="6" t="s">
        <v>22</v>
      </c>
    </row>
    <row r="116" spans="1:14" x14ac:dyDescent="0.3">
      <c r="A116" s="5" t="s">
        <v>349</v>
      </c>
      <c r="B116" s="1" t="s">
        <v>63</v>
      </c>
      <c r="C116" s="1" t="s">
        <v>16</v>
      </c>
      <c r="D116" s="1">
        <v>41</v>
      </c>
      <c r="E116" s="1" t="s">
        <v>25</v>
      </c>
      <c r="F116" s="1" t="s">
        <v>75</v>
      </c>
      <c r="G116" s="1" t="s">
        <v>350</v>
      </c>
      <c r="H116" s="1">
        <v>4</v>
      </c>
      <c r="I116" s="1">
        <v>85197</v>
      </c>
      <c r="J116" s="1">
        <v>16187</v>
      </c>
      <c r="K116" s="1">
        <v>96</v>
      </c>
      <c r="L116" s="1" t="s">
        <v>69</v>
      </c>
      <c r="M116" s="1" t="s">
        <v>21</v>
      </c>
      <c r="N116" s="6" t="s">
        <v>35</v>
      </c>
    </row>
    <row r="117" spans="1:14" x14ac:dyDescent="0.3">
      <c r="A117" s="5" t="s">
        <v>351</v>
      </c>
      <c r="B117" s="1" t="s">
        <v>352</v>
      </c>
      <c r="C117" s="1" t="s">
        <v>31</v>
      </c>
      <c r="D117" s="1">
        <v>41</v>
      </c>
      <c r="E117" s="1" t="s">
        <v>17</v>
      </c>
      <c r="F117" s="1" t="s">
        <v>48</v>
      </c>
      <c r="G117" s="1" t="s">
        <v>353</v>
      </c>
      <c r="H117" s="1">
        <v>1</v>
      </c>
      <c r="I117" s="1">
        <v>77460</v>
      </c>
      <c r="J117" s="1">
        <v>5422</v>
      </c>
      <c r="K117" s="1">
        <v>89</v>
      </c>
      <c r="L117" s="1" t="s">
        <v>20</v>
      </c>
      <c r="M117" s="1" t="s">
        <v>21</v>
      </c>
      <c r="N117" s="6" t="s">
        <v>50</v>
      </c>
    </row>
    <row r="118" spans="1:14" x14ac:dyDescent="0.3">
      <c r="A118" s="5" t="s">
        <v>354</v>
      </c>
      <c r="B118" s="1" t="s">
        <v>103</v>
      </c>
      <c r="C118" s="1" t="s">
        <v>31</v>
      </c>
      <c r="D118" s="1">
        <v>49</v>
      </c>
      <c r="E118" s="1" t="s">
        <v>17</v>
      </c>
      <c r="F118" s="1" t="s">
        <v>67</v>
      </c>
      <c r="G118" s="1" t="s">
        <v>355</v>
      </c>
      <c r="H118" s="1">
        <v>15</v>
      </c>
      <c r="I118" s="1">
        <v>57254</v>
      </c>
      <c r="J118" s="1">
        <v>5153</v>
      </c>
      <c r="K118" s="1">
        <v>81</v>
      </c>
      <c r="L118" s="1" t="s">
        <v>69</v>
      </c>
      <c r="M118" s="1" t="s">
        <v>21</v>
      </c>
      <c r="N118" s="6" t="s">
        <v>44</v>
      </c>
    </row>
    <row r="119" spans="1:14" x14ac:dyDescent="0.3">
      <c r="A119" s="5" t="s">
        <v>356</v>
      </c>
      <c r="B119" s="1" t="s">
        <v>263</v>
      </c>
      <c r="C119" s="1" t="s">
        <v>31</v>
      </c>
      <c r="D119" s="1">
        <v>30</v>
      </c>
      <c r="E119" s="1" t="s">
        <v>59</v>
      </c>
      <c r="F119" s="1" t="s">
        <v>60</v>
      </c>
      <c r="G119" s="1" t="s">
        <v>357</v>
      </c>
      <c r="H119" s="1">
        <v>12</v>
      </c>
      <c r="I119" s="1">
        <v>25025</v>
      </c>
      <c r="J119" s="1">
        <v>2002</v>
      </c>
      <c r="K119" s="1">
        <v>92</v>
      </c>
      <c r="L119" s="1" t="s">
        <v>34</v>
      </c>
      <c r="M119" s="1" t="s">
        <v>21</v>
      </c>
      <c r="N119" s="6" t="s">
        <v>35</v>
      </c>
    </row>
    <row r="120" spans="1:14" x14ac:dyDescent="0.3">
      <c r="A120" s="5" t="s">
        <v>358</v>
      </c>
      <c r="B120" s="1" t="s">
        <v>94</v>
      </c>
      <c r="C120" s="1" t="s">
        <v>31</v>
      </c>
      <c r="D120" s="1">
        <v>50</v>
      </c>
      <c r="E120" s="1" t="s">
        <v>17</v>
      </c>
      <c r="F120" s="1" t="s">
        <v>60</v>
      </c>
      <c r="G120" s="1" t="s">
        <v>359</v>
      </c>
      <c r="H120" s="1">
        <v>4</v>
      </c>
      <c r="I120" s="1">
        <v>36297</v>
      </c>
      <c r="J120" s="1">
        <v>5445</v>
      </c>
      <c r="K120" s="1">
        <v>87</v>
      </c>
      <c r="L120" s="1" t="s">
        <v>69</v>
      </c>
      <c r="M120" s="1" t="s">
        <v>21</v>
      </c>
      <c r="N120" s="6" t="s">
        <v>35</v>
      </c>
    </row>
    <row r="121" spans="1:14" x14ac:dyDescent="0.3">
      <c r="A121" s="5" t="s">
        <v>360</v>
      </c>
      <c r="B121" s="1" t="s">
        <v>361</v>
      </c>
      <c r="C121" s="1" t="s">
        <v>16</v>
      </c>
      <c r="D121" s="1">
        <v>36</v>
      </c>
      <c r="E121" s="1" t="s">
        <v>38</v>
      </c>
      <c r="F121" s="1" t="s">
        <v>85</v>
      </c>
      <c r="G121" s="1" t="s">
        <v>362</v>
      </c>
      <c r="H121" s="1">
        <v>1</v>
      </c>
      <c r="I121" s="1">
        <v>45185</v>
      </c>
      <c r="J121" s="1">
        <v>3163</v>
      </c>
      <c r="K121" s="1">
        <v>91</v>
      </c>
      <c r="L121" s="1" t="s">
        <v>40</v>
      </c>
      <c r="M121" s="1" t="s">
        <v>21</v>
      </c>
      <c r="N121" s="6" t="s">
        <v>44</v>
      </c>
    </row>
    <row r="122" spans="1:14" x14ac:dyDescent="0.3">
      <c r="A122" s="5" t="s">
        <v>363</v>
      </c>
      <c r="B122" s="1" t="s">
        <v>170</v>
      </c>
      <c r="C122" s="1" t="s">
        <v>31</v>
      </c>
      <c r="D122" s="1">
        <v>47</v>
      </c>
      <c r="E122" s="1" t="s">
        <v>17</v>
      </c>
      <c r="F122" s="1" t="s">
        <v>85</v>
      </c>
      <c r="G122" s="1" t="s">
        <v>364</v>
      </c>
      <c r="H122" s="1">
        <v>1</v>
      </c>
      <c r="I122" s="1">
        <v>112167</v>
      </c>
      <c r="J122" s="1">
        <v>8973</v>
      </c>
      <c r="K122" s="1">
        <v>77</v>
      </c>
      <c r="L122" s="1" t="s">
        <v>20</v>
      </c>
      <c r="M122" s="1" t="s">
        <v>21</v>
      </c>
      <c r="N122" s="6" t="s">
        <v>28</v>
      </c>
    </row>
    <row r="123" spans="1:14" x14ac:dyDescent="0.3">
      <c r="A123" s="5" t="s">
        <v>365</v>
      </c>
      <c r="B123" s="1" t="s">
        <v>227</v>
      </c>
      <c r="C123" s="1" t="s">
        <v>31</v>
      </c>
      <c r="D123" s="1">
        <v>45</v>
      </c>
      <c r="E123" s="1" t="s">
        <v>32</v>
      </c>
      <c r="F123" s="1" t="s">
        <v>18</v>
      </c>
      <c r="G123" s="1" t="s">
        <v>366</v>
      </c>
      <c r="H123" s="1">
        <v>11</v>
      </c>
      <c r="I123" s="1">
        <v>29561</v>
      </c>
      <c r="J123" s="1">
        <v>5912</v>
      </c>
      <c r="K123" s="1">
        <v>83</v>
      </c>
      <c r="L123" s="1" t="s">
        <v>69</v>
      </c>
      <c r="M123" s="1" t="s">
        <v>21</v>
      </c>
      <c r="N123" s="6" t="s">
        <v>22</v>
      </c>
    </row>
    <row r="124" spans="1:14" x14ac:dyDescent="0.3">
      <c r="A124" s="5" t="s">
        <v>367</v>
      </c>
      <c r="B124" s="1" t="s">
        <v>348</v>
      </c>
      <c r="C124" s="1" t="s">
        <v>16</v>
      </c>
      <c r="D124" s="1">
        <v>22</v>
      </c>
      <c r="E124" s="1" t="s">
        <v>25</v>
      </c>
      <c r="F124" s="1" t="s">
        <v>26</v>
      </c>
      <c r="G124" s="1" t="s">
        <v>368</v>
      </c>
      <c r="H124" s="1">
        <v>12</v>
      </c>
      <c r="I124" s="1">
        <v>87635</v>
      </c>
      <c r="J124" s="1">
        <v>14022</v>
      </c>
      <c r="K124" s="1">
        <v>75</v>
      </c>
      <c r="L124" s="1" t="s">
        <v>34</v>
      </c>
      <c r="M124" s="1" t="s">
        <v>21</v>
      </c>
      <c r="N124" s="6" t="s">
        <v>50</v>
      </c>
    </row>
    <row r="125" spans="1:14" x14ac:dyDescent="0.3">
      <c r="A125" s="5" t="s">
        <v>369</v>
      </c>
      <c r="B125" s="1" t="s">
        <v>115</v>
      </c>
      <c r="C125" s="1" t="s">
        <v>31</v>
      </c>
      <c r="D125" s="1">
        <v>33</v>
      </c>
      <c r="E125" s="1" t="s">
        <v>32</v>
      </c>
      <c r="F125" s="1" t="s">
        <v>18</v>
      </c>
      <c r="G125" s="1" t="s">
        <v>370</v>
      </c>
      <c r="H125" s="1">
        <v>8</v>
      </c>
      <c r="I125" s="1">
        <v>38363</v>
      </c>
      <c r="J125" s="1">
        <v>3836</v>
      </c>
      <c r="K125" s="1">
        <v>95</v>
      </c>
      <c r="L125" s="1" t="s">
        <v>20</v>
      </c>
      <c r="M125" s="1" t="s">
        <v>117</v>
      </c>
      <c r="N125" s="6" t="s">
        <v>44</v>
      </c>
    </row>
    <row r="126" spans="1:14" x14ac:dyDescent="0.3">
      <c r="A126" s="5" t="s">
        <v>371</v>
      </c>
      <c r="B126" s="1" t="s">
        <v>88</v>
      </c>
      <c r="C126" s="1" t="s">
        <v>16</v>
      </c>
      <c r="D126" s="1">
        <v>27</v>
      </c>
      <c r="E126" s="1" t="s">
        <v>17</v>
      </c>
      <c r="F126" s="1" t="s">
        <v>60</v>
      </c>
      <c r="G126" s="1" t="s">
        <v>372</v>
      </c>
      <c r="H126" s="1">
        <v>12</v>
      </c>
      <c r="I126" s="1">
        <v>75363</v>
      </c>
      <c r="J126" s="1">
        <v>15073</v>
      </c>
      <c r="K126" s="1">
        <v>98</v>
      </c>
      <c r="L126" s="1" t="s">
        <v>69</v>
      </c>
      <c r="M126" s="1" t="s">
        <v>21</v>
      </c>
      <c r="N126" s="6" t="s">
        <v>35</v>
      </c>
    </row>
    <row r="127" spans="1:14" x14ac:dyDescent="0.3">
      <c r="A127" s="5" t="s">
        <v>373</v>
      </c>
      <c r="B127" s="1" t="s">
        <v>374</v>
      </c>
      <c r="C127" s="1" t="s">
        <v>16</v>
      </c>
      <c r="D127" s="1">
        <v>44</v>
      </c>
      <c r="E127" s="1" t="s">
        <v>47</v>
      </c>
      <c r="F127" s="1" t="s">
        <v>48</v>
      </c>
      <c r="G127" s="1" t="s">
        <v>375</v>
      </c>
      <c r="H127" s="1">
        <v>15</v>
      </c>
      <c r="I127" s="1">
        <v>70696</v>
      </c>
      <c r="J127" s="1">
        <v>11311</v>
      </c>
      <c r="K127" s="1">
        <v>90</v>
      </c>
      <c r="L127" s="1" t="s">
        <v>40</v>
      </c>
      <c r="M127" s="1" t="s">
        <v>21</v>
      </c>
      <c r="N127" s="6" t="s">
        <v>28</v>
      </c>
    </row>
    <row r="128" spans="1:14" x14ac:dyDescent="0.3">
      <c r="A128" s="5" t="s">
        <v>376</v>
      </c>
      <c r="B128" s="1" t="s">
        <v>211</v>
      </c>
      <c r="C128" s="1" t="s">
        <v>16</v>
      </c>
      <c r="D128" s="1">
        <v>44</v>
      </c>
      <c r="E128" s="1" t="s">
        <v>59</v>
      </c>
      <c r="F128" s="1" t="s">
        <v>48</v>
      </c>
      <c r="G128" s="1" t="s">
        <v>377</v>
      </c>
      <c r="H128" s="1">
        <v>7</v>
      </c>
      <c r="I128" s="1">
        <v>100240</v>
      </c>
      <c r="J128" s="1">
        <v>13031</v>
      </c>
      <c r="K128" s="1">
        <v>87</v>
      </c>
      <c r="L128" s="1" t="s">
        <v>34</v>
      </c>
      <c r="M128" s="1" t="s">
        <v>21</v>
      </c>
      <c r="N128" s="6" t="s">
        <v>35</v>
      </c>
    </row>
    <row r="129" spans="1:14" x14ac:dyDescent="0.3">
      <c r="A129" s="5" t="s">
        <v>378</v>
      </c>
      <c r="B129" s="1" t="s">
        <v>379</v>
      </c>
      <c r="C129" s="1" t="s">
        <v>31</v>
      </c>
      <c r="D129" s="1">
        <v>30</v>
      </c>
      <c r="E129" s="1" t="s">
        <v>47</v>
      </c>
      <c r="F129" s="1" t="s">
        <v>75</v>
      </c>
      <c r="G129" s="1" t="s">
        <v>380</v>
      </c>
      <c r="H129" s="1">
        <v>9</v>
      </c>
      <c r="I129" s="1">
        <v>94763</v>
      </c>
      <c r="J129" s="1">
        <v>12319</v>
      </c>
      <c r="K129" s="1">
        <v>82</v>
      </c>
      <c r="L129" s="1" t="s">
        <v>20</v>
      </c>
      <c r="M129" s="1" t="s">
        <v>21</v>
      </c>
      <c r="N129" s="6" t="s">
        <v>44</v>
      </c>
    </row>
    <row r="130" spans="1:14" x14ac:dyDescent="0.3">
      <c r="A130" s="5" t="s">
        <v>381</v>
      </c>
      <c r="B130" s="1" t="s">
        <v>382</v>
      </c>
      <c r="C130" s="1" t="s">
        <v>31</v>
      </c>
      <c r="D130" s="1">
        <v>32</v>
      </c>
      <c r="E130" s="1" t="s">
        <v>38</v>
      </c>
      <c r="F130" s="1" t="s">
        <v>75</v>
      </c>
      <c r="G130" s="1" t="s">
        <v>383</v>
      </c>
      <c r="H130" s="1">
        <v>4</v>
      </c>
      <c r="I130" s="1">
        <v>42513</v>
      </c>
      <c r="J130" s="1">
        <v>7652</v>
      </c>
      <c r="K130" s="1">
        <v>80</v>
      </c>
      <c r="L130" s="1" t="s">
        <v>40</v>
      </c>
      <c r="M130" s="1" t="s">
        <v>21</v>
      </c>
      <c r="N130" s="6" t="s">
        <v>44</v>
      </c>
    </row>
    <row r="131" spans="1:14" x14ac:dyDescent="0.3">
      <c r="A131" s="5" t="s">
        <v>384</v>
      </c>
      <c r="B131" s="1" t="s">
        <v>148</v>
      </c>
      <c r="C131" s="1" t="s">
        <v>16</v>
      </c>
      <c r="D131" s="1">
        <v>31</v>
      </c>
      <c r="E131" s="1" t="s">
        <v>59</v>
      </c>
      <c r="F131" s="1" t="s">
        <v>60</v>
      </c>
      <c r="G131" s="1" t="s">
        <v>385</v>
      </c>
      <c r="H131" s="1">
        <v>1</v>
      </c>
      <c r="I131" s="1">
        <v>80889</v>
      </c>
      <c r="J131" s="1">
        <v>16178</v>
      </c>
      <c r="K131" s="1">
        <v>97</v>
      </c>
      <c r="L131" s="1" t="s">
        <v>34</v>
      </c>
      <c r="M131" s="1" t="s">
        <v>21</v>
      </c>
      <c r="N131" s="6" t="s">
        <v>35</v>
      </c>
    </row>
    <row r="132" spans="1:14" x14ac:dyDescent="0.3">
      <c r="A132" s="5" t="s">
        <v>386</v>
      </c>
      <c r="B132" s="1" t="s">
        <v>330</v>
      </c>
      <c r="C132" s="1" t="s">
        <v>31</v>
      </c>
      <c r="D132" s="1">
        <v>23</v>
      </c>
      <c r="E132" s="1" t="s">
        <v>47</v>
      </c>
      <c r="F132" s="1" t="s">
        <v>67</v>
      </c>
      <c r="G132" s="1" t="s">
        <v>387</v>
      </c>
      <c r="H132" s="1">
        <v>13</v>
      </c>
      <c r="I132" s="1">
        <v>32973</v>
      </c>
      <c r="J132" s="1">
        <v>5276</v>
      </c>
      <c r="K132" s="1">
        <v>88</v>
      </c>
      <c r="L132" s="1" t="s">
        <v>69</v>
      </c>
      <c r="M132" s="1" t="s">
        <v>21</v>
      </c>
      <c r="N132" s="6" t="s">
        <v>28</v>
      </c>
    </row>
    <row r="133" spans="1:14" x14ac:dyDescent="0.3">
      <c r="A133" s="5" t="s">
        <v>388</v>
      </c>
      <c r="B133" s="1" t="s">
        <v>389</v>
      </c>
      <c r="C133" s="1" t="s">
        <v>16</v>
      </c>
      <c r="D133" s="1">
        <v>40</v>
      </c>
      <c r="E133" s="1" t="s">
        <v>47</v>
      </c>
      <c r="F133" s="1" t="s">
        <v>26</v>
      </c>
      <c r="G133" s="1" t="s">
        <v>390</v>
      </c>
      <c r="H133" s="1">
        <v>0</v>
      </c>
      <c r="I133" s="1">
        <v>44799</v>
      </c>
      <c r="J133" s="1">
        <v>2240</v>
      </c>
      <c r="K133" s="1">
        <v>92</v>
      </c>
      <c r="L133" s="1" t="s">
        <v>34</v>
      </c>
      <c r="M133" s="1" t="s">
        <v>21</v>
      </c>
      <c r="N133" s="6" t="s">
        <v>22</v>
      </c>
    </row>
    <row r="134" spans="1:14" x14ac:dyDescent="0.3">
      <c r="A134" s="5" t="s">
        <v>391</v>
      </c>
      <c r="B134" s="1" t="s">
        <v>392</v>
      </c>
      <c r="C134" s="1" t="s">
        <v>31</v>
      </c>
      <c r="D134" s="1">
        <v>45</v>
      </c>
      <c r="E134" s="1" t="s">
        <v>32</v>
      </c>
      <c r="F134" s="1" t="s">
        <v>75</v>
      </c>
      <c r="G134" s="1" t="s">
        <v>393</v>
      </c>
      <c r="H134" s="1">
        <v>6</v>
      </c>
      <c r="I134" s="1">
        <v>47110</v>
      </c>
      <c r="J134" s="1">
        <v>5182</v>
      </c>
      <c r="K134" s="1">
        <v>79</v>
      </c>
      <c r="L134" s="1" t="s">
        <v>69</v>
      </c>
      <c r="M134" s="1" t="s">
        <v>21</v>
      </c>
      <c r="N134" s="6" t="s">
        <v>44</v>
      </c>
    </row>
    <row r="135" spans="1:14" x14ac:dyDescent="0.3">
      <c r="A135" s="5" t="s">
        <v>394</v>
      </c>
      <c r="B135" s="1" t="s">
        <v>84</v>
      </c>
      <c r="C135" s="1" t="s">
        <v>31</v>
      </c>
      <c r="D135" s="1">
        <v>29</v>
      </c>
      <c r="E135" s="1" t="s">
        <v>47</v>
      </c>
      <c r="F135" s="1" t="s">
        <v>67</v>
      </c>
      <c r="G135" s="1" t="s">
        <v>104</v>
      </c>
      <c r="H135" s="1">
        <v>13</v>
      </c>
      <c r="I135" s="1">
        <v>25205</v>
      </c>
      <c r="J135" s="1">
        <v>2268</v>
      </c>
      <c r="K135" s="1">
        <v>90</v>
      </c>
      <c r="L135" s="1" t="s">
        <v>40</v>
      </c>
      <c r="M135" s="1" t="s">
        <v>21</v>
      </c>
      <c r="N135" s="6" t="s">
        <v>35</v>
      </c>
    </row>
    <row r="136" spans="1:14" x14ac:dyDescent="0.3">
      <c r="A136" s="5" t="s">
        <v>395</v>
      </c>
      <c r="B136" s="1" t="s">
        <v>248</v>
      </c>
      <c r="C136" s="1" t="s">
        <v>31</v>
      </c>
      <c r="D136" s="1">
        <v>47</v>
      </c>
      <c r="E136" s="1" t="s">
        <v>25</v>
      </c>
      <c r="F136" s="1" t="s">
        <v>67</v>
      </c>
      <c r="G136" s="1" t="s">
        <v>396</v>
      </c>
      <c r="H136" s="1">
        <v>3</v>
      </c>
      <c r="I136" s="1">
        <v>101683</v>
      </c>
      <c r="J136" s="1">
        <v>5084</v>
      </c>
      <c r="K136" s="1">
        <v>88</v>
      </c>
      <c r="L136" s="1" t="s">
        <v>40</v>
      </c>
      <c r="M136" s="1" t="s">
        <v>21</v>
      </c>
      <c r="N136" s="6" t="s">
        <v>44</v>
      </c>
    </row>
    <row r="137" spans="1:14" x14ac:dyDescent="0.3">
      <c r="A137" s="5" t="s">
        <v>397</v>
      </c>
      <c r="B137" s="1" t="s">
        <v>398</v>
      </c>
      <c r="C137" s="1" t="s">
        <v>16</v>
      </c>
      <c r="D137" s="1">
        <v>43</v>
      </c>
      <c r="E137" s="1" t="s">
        <v>32</v>
      </c>
      <c r="F137" s="1" t="s">
        <v>48</v>
      </c>
      <c r="G137" s="1" t="s">
        <v>399</v>
      </c>
      <c r="H137" s="1">
        <v>4</v>
      </c>
      <c r="I137" s="1">
        <v>90684</v>
      </c>
      <c r="J137" s="1">
        <v>9975</v>
      </c>
      <c r="K137" s="1">
        <v>87</v>
      </c>
      <c r="L137" s="1" t="s">
        <v>40</v>
      </c>
      <c r="M137" s="1" t="s">
        <v>21</v>
      </c>
      <c r="N137" s="6" t="s">
        <v>28</v>
      </c>
    </row>
    <row r="138" spans="1:14" x14ac:dyDescent="0.3">
      <c r="A138" s="5" t="s">
        <v>400</v>
      </c>
      <c r="B138" s="1" t="s">
        <v>300</v>
      </c>
      <c r="C138" s="1" t="s">
        <v>16</v>
      </c>
      <c r="D138" s="1">
        <v>46</v>
      </c>
      <c r="E138" s="1" t="s">
        <v>17</v>
      </c>
      <c r="F138" s="1" t="s">
        <v>67</v>
      </c>
      <c r="G138" s="1" t="s">
        <v>401</v>
      </c>
      <c r="H138" s="1">
        <v>2</v>
      </c>
      <c r="I138" s="1">
        <v>88756</v>
      </c>
      <c r="J138" s="1">
        <v>16864</v>
      </c>
      <c r="K138" s="1">
        <v>92</v>
      </c>
      <c r="L138" s="1" t="s">
        <v>34</v>
      </c>
      <c r="M138" s="1" t="s">
        <v>21</v>
      </c>
      <c r="N138" s="6" t="s">
        <v>22</v>
      </c>
    </row>
    <row r="139" spans="1:14" x14ac:dyDescent="0.3">
      <c r="A139" s="5" t="s">
        <v>402</v>
      </c>
      <c r="B139" s="1" t="s">
        <v>184</v>
      </c>
      <c r="C139" s="1" t="s">
        <v>31</v>
      </c>
      <c r="D139" s="1">
        <v>46</v>
      </c>
      <c r="E139" s="1" t="s">
        <v>32</v>
      </c>
      <c r="F139" s="1" t="s">
        <v>85</v>
      </c>
      <c r="G139" s="1" t="s">
        <v>403</v>
      </c>
      <c r="H139" s="1">
        <v>11</v>
      </c>
      <c r="I139" s="1">
        <v>92481</v>
      </c>
      <c r="J139" s="1">
        <v>14797</v>
      </c>
      <c r="K139" s="1">
        <v>92</v>
      </c>
      <c r="L139" s="1" t="s">
        <v>34</v>
      </c>
      <c r="M139" s="1" t="s">
        <v>21</v>
      </c>
      <c r="N139" s="6" t="s">
        <v>22</v>
      </c>
    </row>
    <row r="140" spans="1:14" x14ac:dyDescent="0.3">
      <c r="A140" s="5" t="s">
        <v>404</v>
      </c>
      <c r="B140" s="1" t="s">
        <v>170</v>
      </c>
      <c r="C140" s="1" t="s">
        <v>31</v>
      </c>
      <c r="D140" s="1">
        <v>34</v>
      </c>
      <c r="E140" s="1" t="s">
        <v>32</v>
      </c>
      <c r="F140" s="1" t="s">
        <v>85</v>
      </c>
      <c r="G140" s="1" t="s">
        <v>405</v>
      </c>
      <c r="H140" s="1">
        <v>3</v>
      </c>
      <c r="I140" s="1">
        <v>63394</v>
      </c>
      <c r="J140" s="1">
        <v>5705</v>
      </c>
      <c r="K140" s="1">
        <v>100</v>
      </c>
      <c r="L140" s="1" t="s">
        <v>40</v>
      </c>
      <c r="M140" s="1" t="s">
        <v>21</v>
      </c>
      <c r="N140" s="6" t="s">
        <v>22</v>
      </c>
    </row>
    <row r="141" spans="1:14" x14ac:dyDescent="0.3">
      <c r="A141" s="5" t="s">
        <v>406</v>
      </c>
      <c r="B141" s="1" t="s">
        <v>407</v>
      </c>
      <c r="C141" s="1" t="s">
        <v>16</v>
      </c>
      <c r="D141" s="1">
        <v>50</v>
      </c>
      <c r="E141" s="1" t="s">
        <v>38</v>
      </c>
      <c r="F141" s="1" t="s">
        <v>75</v>
      </c>
      <c r="G141" s="1" t="s">
        <v>408</v>
      </c>
      <c r="H141" s="1">
        <v>4</v>
      </c>
      <c r="I141" s="1">
        <v>105267</v>
      </c>
      <c r="J141" s="1">
        <v>11579</v>
      </c>
      <c r="K141" s="1">
        <v>88</v>
      </c>
      <c r="L141" s="1" t="s">
        <v>34</v>
      </c>
      <c r="M141" s="1" t="s">
        <v>21</v>
      </c>
      <c r="N141" s="6" t="s">
        <v>50</v>
      </c>
    </row>
    <row r="142" spans="1:14" x14ac:dyDescent="0.3">
      <c r="A142" s="5" t="s">
        <v>409</v>
      </c>
      <c r="B142" s="1" t="s">
        <v>410</v>
      </c>
      <c r="C142" s="1" t="s">
        <v>31</v>
      </c>
      <c r="D142" s="1">
        <v>41</v>
      </c>
      <c r="E142" s="1" t="s">
        <v>59</v>
      </c>
      <c r="F142" s="1" t="s">
        <v>18</v>
      </c>
      <c r="G142" s="1" t="s">
        <v>411</v>
      </c>
      <c r="H142" s="1">
        <v>9</v>
      </c>
      <c r="I142" s="1">
        <v>64931</v>
      </c>
      <c r="J142" s="1">
        <v>9740</v>
      </c>
      <c r="K142" s="1">
        <v>93</v>
      </c>
      <c r="L142" s="1" t="s">
        <v>34</v>
      </c>
      <c r="M142" s="1" t="s">
        <v>21</v>
      </c>
      <c r="N142" s="6" t="s">
        <v>50</v>
      </c>
    </row>
    <row r="143" spans="1:14" x14ac:dyDescent="0.3">
      <c r="A143" s="5" t="s">
        <v>412</v>
      </c>
      <c r="B143" s="1" t="s">
        <v>257</v>
      </c>
      <c r="C143" s="1" t="s">
        <v>16</v>
      </c>
      <c r="D143" s="1">
        <v>43</v>
      </c>
      <c r="E143" s="1" t="s">
        <v>17</v>
      </c>
      <c r="F143" s="1" t="s">
        <v>60</v>
      </c>
      <c r="G143" s="1" t="s">
        <v>413</v>
      </c>
      <c r="H143" s="1">
        <v>6</v>
      </c>
      <c r="I143" s="1">
        <v>90473</v>
      </c>
      <c r="J143" s="1">
        <v>12666</v>
      </c>
      <c r="K143" s="1">
        <v>94</v>
      </c>
      <c r="L143" s="1" t="s">
        <v>34</v>
      </c>
      <c r="M143" s="1" t="s">
        <v>21</v>
      </c>
      <c r="N143" s="6" t="s">
        <v>44</v>
      </c>
    </row>
    <row r="144" spans="1:14" x14ac:dyDescent="0.3">
      <c r="A144" s="5" t="s">
        <v>414</v>
      </c>
      <c r="B144" s="1" t="s">
        <v>78</v>
      </c>
      <c r="C144" s="1" t="s">
        <v>16</v>
      </c>
      <c r="D144" s="1">
        <v>34</v>
      </c>
      <c r="E144" s="1" t="s">
        <v>38</v>
      </c>
      <c r="F144" s="1" t="s">
        <v>60</v>
      </c>
      <c r="G144" s="1" t="s">
        <v>415</v>
      </c>
      <c r="H144" s="1">
        <v>0</v>
      </c>
      <c r="I144" s="1">
        <v>73709</v>
      </c>
      <c r="J144" s="1">
        <v>6634</v>
      </c>
      <c r="K144" s="1">
        <v>96</v>
      </c>
      <c r="L144" s="1" t="s">
        <v>40</v>
      </c>
      <c r="M144" s="1" t="s">
        <v>21</v>
      </c>
      <c r="N144" s="6" t="s">
        <v>28</v>
      </c>
    </row>
    <row r="145" spans="1:14" x14ac:dyDescent="0.3">
      <c r="A145" s="5" t="s">
        <v>416</v>
      </c>
      <c r="B145" s="1" t="s">
        <v>106</v>
      </c>
      <c r="C145" s="1" t="s">
        <v>31</v>
      </c>
      <c r="D145" s="1">
        <v>38</v>
      </c>
      <c r="E145" s="1" t="s">
        <v>38</v>
      </c>
      <c r="F145" s="1" t="s">
        <v>67</v>
      </c>
      <c r="G145" s="1" t="s">
        <v>417</v>
      </c>
      <c r="H145" s="1">
        <v>15</v>
      </c>
      <c r="I145" s="1">
        <v>98207</v>
      </c>
      <c r="J145" s="1">
        <v>12767</v>
      </c>
      <c r="K145" s="1">
        <v>100</v>
      </c>
      <c r="L145" s="1" t="s">
        <v>69</v>
      </c>
      <c r="M145" s="1" t="s">
        <v>21</v>
      </c>
      <c r="N145" s="6" t="s">
        <v>44</v>
      </c>
    </row>
    <row r="146" spans="1:14" x14ac:dyDescent="0.3">
      <c r="A146" s="5" t="s">
        <v>418</v>
      </c>
      <c r="B146" s="1" t="s">
        <v>66</v>
      </c>
      <c r="C146" s="1" t="s">
        <v>31</v>
      </c>
      <c r="D146" s="1">
        <v>46</v>
      </c>
      <c r="E146" s="1" t="s">
        <v>59</v>
      </c>
      <c r="F146" s="1" t="s">
        <v>75</v>
      </c>
      <c r="G146" s="1" t="s">
        <v>419</v>
      </c>
      <c r="H146" s="1">
        <v>12</v>
      </c>
      <c r="I146" s="1">
        <v>39957</v>
      </c>
      <c r="J146" s="1">
        <v>2397</v>
      </c>
      <c r="K146" s="1">
        <v>86</v>
      </c>
      <c r="L146" s="1" t="s">
        <v>69</v>
      </c>
      <c r="M146" s="1" t="s">
        <v>21</v>
      </c>
      <c r="N146" s="6" t="s">
        <v>50</v>
      </c>
    </row>
    <row r="147" spans="1:14" x14ac:dyDescent="0.3">
      <c r="A147" s="5" t="s">
        <v>420</v>
      </c>
      <c r="B147" s="1" t="s">
        <v>211</v>
      </c>
      <c r="C147" s="1" t="s">
        <v>16</v>
      </c>
      <c r="D147" s="1">
        <v>40</v>
      </c>
      <c r="E147" s="1" t="s">
        <v>38</v>
      </c>
      <c r="F147" s="1" t="s">
        <v>60</v>
      </c>
      <c r="G147" s="1" t="s">
        <v>421</v>
      </c>
      <c r="H147" s="1">
        <v>1</v>
      </c>
      <c r="I147" s="1">
        <v>49880</v>
      </c>
      <c r="J147" s="1">
        <v>5986</v>
      </c>
      <c r="K147" s="1">
        <v>77</v>
      </c>
      <c r="L147" s="1" t="s">
        <v>34</v>
      </c>
      <c r="M147" s="1" t="s">
        <v>21</v>
      </c>
      <c r="N147" s="6" t="s">
        <v>44</v>
      </c>
    </row>
    <row r="148" spans="1:14" x14ac:dyDescent="0.3">
      <c r="A148" s="5" t="s">
        <v>422</v>
      </c>
      <c r="B148" s="1" t="s">
        <v>423</v>
      </c>
      <c r="C148" s="1" t="s">
        <v>16</v>
      </c>
      <c r="D148" s="1">
        <v>28</v>
      </c>
      <c r="E148" s="1" t="s">
        <v>47</v>
      </c>
      <c r="F148" s="1" t="s">
        <v>75</v>
      </c>
      <c r="G148" s="1" t="s">
        <v>368</v>
      </c>
      <c r="H148" s="1">
        <v>2</v>
      </c>
      <c r="I148" s="1">
        <v>63579</v>
      </c>
      <c r="J148" s="1">
        <v>10173</v>
      </c>
      <c r="K148" s="1">
        <v>85</v>
      </c>
      <c r="L148" s="1" t="s">
        <v>69</v>
      </c>
      <c r="M148" s="1" t="s">
        <v>21</v>
      </c>
      <c r="N148" s="6" t="s">
        <v>35</v>
      </c>
    </row>
    <row r="149" spans="1:14" x14ac:dyDescent="0.3">
      <c r="A149" s="5" t="s">
        <v>424</v>
      </c>
      <c r="B149" s="1" t="s">
        <v>392</v>
      </c>
      <c r="C149" s="1" t="s">
        <v>31</v>
      </c>
      <c r="D149" s="1">
        <v>25</v>
      </c>
      <c r="E149" s="1" t="s">
        <v>25</v>
      </c>
      <c r="F149" s="1" t="s">
        <v>48</v>
      </c>
      <c r="G149" s="1" t="s">
        <v>425</v>
      </c>
      <c r="H149" s="1">
        <v>12</v>
      </c>
      <c r="I149" s="1">
        <v>91493</v>
      </c>
      <c r="J149" s="1">
        <v>18299</v>
      </c>
      <c r="K149" s="1">
        <v>75</v>
      </c>
      <c r="L149" s="1" t="s">
        <v>20</v>
      </c>
      <c r="M149" s="1" t="s">
        <v>21</v>
      </c>
      <c r="N149" s="6" t="s">
        <v>22</v>
      </c>
    </row>
    <row r="150" spans="1:14" x14ac:dyDescent="0.3">
      <c r="A150" s="5" t="s">
        <v>426</v>
      </c>
      <c r="B150" s="1" t="s">
        <v>427</v>
      </c>
      <c r="C150" s="1" t="s">
        <v>16</v>
      </c>
      <c r="D150" s="1">
        <v>40</v>
      </c>
      <c r="E150" s="1" t="s">
        <v>32</v>
      </c>
      <c r="F150" s="1" t="s">
        <v>48</v>
      </c>
      <c r="G150" s="1" t="s">
        <v>428</v>
      </c>
      <c r="H150" s="1">
        <v>11</v>
      </c>
      <c r="I150" s="1">
        <v>66826</v>
      </c>
      <c r="J150" s="1">
        <v>6683</v>
      </c>
      <c r="K150" s="1">
        <v>90</v>
      </c>
      <c r="L150" s="1" t="s">
        <v>69</v>
      </c>
      <c r="M150" s="1" t="s">
        <v>21</v>
      </c>
      <c r="N150" s="6" t="s">
        <v>35</v>
      </c>
    </row>
    <row r="151" spans="1:14" x14ac:dyDescent="0.3">
      <c r="A151" s="5" t="s">
        <v>429</v>
      </c>
      <c r="B151" s="1" t="s">
        <v>430</v>
      </c>
      <c r="C151" s="1" t="s">
        <v>31</v>
      </c>
      <c r="D151" s="1">
        <v>37</v>
      </c>
      <c r="E151" s="1" t="s">
        <v>38</v>
      </c>
      <c r="F151" s="1" t="s">
        <v>18</v>
      </c>
      <c r="G151" s="1" t="s">
        <v>431</v>
      </c>
      <c r="H151" s="1">
        <v>0</v>
      </c>
      <c r="I151" s="1">
        <v>41657</v>
      </c>
      <c r="J151" s="1">
        <v>3749</v>
      </c>
      <c r="K151" s="1">
        <v>78</v>
      </c>
      <c r="L151" s="1" t="s">
        <v>69</v>
      </c>
      <c r="M151" s="1" t="s">
        <v>21</v>
      </c>
      <c r="N151" s="6" t="s">
        <v>28</v>
      </c>
    </row>
    <row r="152" spans="1:14" x14ac:dyDescent="0.3">
      <c r="A152" s="5" t="s">
        <v>432</v>
      </c>
      <c r="B152" s="1" t="s">
        <v>433</v>
      </c>
      <c r="C152" s="1" t="s">
        <v>31</v>
      </c>
      <c r="D152" s="1">
        <v>38</v>
      </c>
      <c r="E152" s="1" t="s">
        <v>25</v>
      </c>
      <c r="F152" s="1" t="s">
        <v>75</v>
      </c>
      <c r="G152" s="1" t="s">
        <v>434</v>
      </c>
      <c r="H152" s="1">
        <v>0</v>
      </c>
      <c r="I152" s="1">
        <v>39651</v>
      </c>
      <c r="J152" s="1">
        <v>5155</v>
      </c>
      <c r="K152" s="1">
        <v>88</v>
      </c>
      <c r="L152" s="1" t="s">
        <v>20</v>
      </c>
      <c r="M152" s="1" t="s">
        <v>21</v>
      </c>
      <c r="N152" s="6" t="s">
        <v>35</v>
      </c>
    </row>
    <row r="153" spans="1:14" x14ac:dyDescent="0.3">
      <c r="A153" s="5" t="s">
        <v>435</v>
      </c>
      <c r="B153" s="1" t="s">
        <v>179</v>
      </c>
      <c r="C153" s="1" t="s">
        <v>31</v>
      </c>
      <c r="D153" s="1">
        <v>38</v>
      </c>
      <c r="E153" s="1" t="s">
        <v>38</v>
      </c>
      <c r="F153" s="1" t="s">
        <v>67</v>
      </c>
      <c r="G153" s="1" t="s">
        <v>436</v>
      </c>
      <c r="H153" s="1">
        <v>0</v>
      </c>
      <c r="I153" s="1">
        <v>107272</v>
      </c>
      <c r="J153" s="1">
        <v>6436</v>
      </c>
      <c r="K153" s="1">
        <v>92</v>
      </c>
      <c r="L153" s="1" t="s">
        <v>20</v>
      </c>
      <c r="M153" s="1" t="s">
        <v>21</v>
      </c>
      <c r="N153" s="6" t="s">
        <v>44</v>
      </c>
    </row>
    <row r="154" spans="1:14" x14ac:dyDescent="0.3">
      <c r="A154" s="5" t="s">
        <v>437</v>
      </c>
      <c r="B154" s="1" t="s">
        <v>195</v>
      </c>
      <c r="C154" s="1" t="s">
        <v>16</v>
      </c>
      <c r="D154" s="1">
        <v>45</v>
      </c>
      <c r="E154" s="1" t="s">
        <v>38</v>
      </c>
      <c r="F154" s="1" t="s">
        <v>26</v>
      </c>
      <c r="G154" s="1" t="s">
        <v>438</v>
      </c>
      <c r="H154" s="1">
        <v>2</v>
      </c>
      <c r="I154" s="1">
        <v>110675</v>
      </c>
      <c r="J154" s="1">
        <v>19922</v>
      </c>
      <c r="K154" s="1">
        <v>86</v>
      </c>
      <c r="L154" s="1" t="s">
        <v>20</v>
      </c>
      <c r="M154" s="1" t="s">
        <v>21</v>
      </c>
      <c r="N154" s="6" t="s">
        <v>50</v>
      </c>
    </row>
    <row r="155" spans="1:14" x14ac:dyDescent="0.3">
      <c r="A155" s="5" t="s">
        <v>439</v>
      </c>
      <c r="B155" s="1" t="s">
        <v>319</v>
      </c>
      <c r="C155" s="1" t="s">
        <v>31</v>
      </c>
      <c r="D155" s="1">
        <v>48</v>
      </c>
      <c r="E155" s="1" t="s">
        <v>59</v>
      </c>
      <c r="F155" s="1" t="s">
        <v>85</v>
      </c>
      <c r="G155" s="1" t="s">
        <v>440</v>
      </c>
      <c r="H155" s="1">
        <v>11</v>
      </c>
      <c r="I155" s="1">
        <v>82569</v>
      </c>
      <c r="J155" s="1">
        <v>4954</v>
      </c>
      <c r="K155" s="1">
        <v>95</v>
      </c>
      <c r="L155" s="1" t="s">
        <v>20</v>
      </c>
      <c r="M155" s="1" t="s">
        <v>117</v>
      </c>
      <c r="N155" s="6" t="s">
        <v>50</v>
      </c>
    </row>
    <row r="156" spans="1:14" x14ac:dyDescent="0.3">
      <c r="A156" s="5" t="s">
        <v>441</v>
      </c>
      <c r="B156" s="1" t="s">
        <v>322</v>
      </c>
      <c r="C156" s="1" t="s">
        <v>16</v>
      </c>
      <c r="D156" s="1">
        <v>50</v>
      </c>
      <c r="E156" s="1" t="s">
        <v>47</v>
      </c>
      <c r="F156" s="1" t="s">
        <v>48</v>
      </c>
      <c r="G156" s="1" t="s">
        <v>442</v>
      </c>
      <c r="H156" s="1">
        <v>15</v>
      </c>
      <c r="I156" s="1">
        <v>89446</v>
      </c>
      <c r="J156" s="1">
        <v>5367</v>
      </c>
      <c r="K156" s="1">
        <v>92</v>
      </c>
      <c r="L156" s="1" t="s">
        <v>40</v>
      </c>
      <c r="M156" s="1" t="s">
        <v>21</v>
      </c>
      <c r="N156" s="6" t="s">
        <v>44</v>
      </c>
    </row>
    <row r="157" spans="1:14" x14ac:dyDescent="0.3">
      <c r="A157" s="5" t="s">
        <v>443</v>
      </c>
      <c r="B157" s="1" t="s">
        <v>184</v>
      </c>
      <c r="C157" s="1" t="s">
        <v>31</v>
      </c>
      <c r="D157" s="1">
        <v>37</v>
      </c>
      <c r="E157" s="1" t="s">
        <v>32</v>
      </c>
      <c r="F157" s="1" t="s">
        <v>67</v>
      </c>
      <c r="G157" s="1" t="s">
        <v>444</v>
      </c>
      <c r="H157" s="1">
        <v>7</v>
      </c>
      <c r="I157" s="1">
        <v>81438</v>
      </c>
      <c r="J157" s="1">
        <v>8144</v>
      </c>
      <c r="K157" s="1">
        <v>86</v>
      </c>
      <c r="L157" s="1" t="s">
        <v>34</v>
      </c>
      <c r="M157" s="1" t="s">
        <v>21</v>
      </c>
      <c r="N157" s="6" t="s">
        <v>50</v>
      </c>
    </row>
    <row r="158" spans="1:14" x14ac:dyDescent="0.3">
      <c r="A158" s="5" t="s">
        <v>445</v>
      </c>
      <c r="B158" s="1" t="s">
        <v>127</v>
      </c>
      <c r="C158" s="1" t="s">
        <v>16</v>
      </c>
      <c r="D158" s="1">
        <v>29</v>
      </c>
      <c r="E158" s="1" t="s">
        <v>32</v>
      </c>
      <c r="F158" s="1" t="s">
        <v>48</v>
      </c>
      <c r="G158" s="1" t="s">
        <v>290</v>
      </c>
      <c r="H158" s="1">
        <v>5</v>
      </c>
      <c r="I158" s="1">
        <v>76881</v>
      </c>
      <c r="J158" s="1">
        <v>6150</v>
      </c>
      <c r="K158" s="1">
        <v>88</v>
      </c>
      <c r="L158" s="1" t="s">
        <v>20</v>
      </c>
      <c r="M158" s="1" t="s">
        <v>21</v>
      </c>
      <c r="N158" s="6" t="s">
        <v>22</v>
      </c>
    </row>
    <row r="159" spans="1:14" x14ac:dyDescent="0.3">
      <c r="A159" s="5" t="s">
        <v>446</v>
      </c>
      <c r="B159" s="1" t="s">
        <v>15</v>
      </c>
      <c r="C159" s="1" t="s">
        <v>16</v>
      </c>
      <c r="D159" s="1">
        <v>38</v>
      </c>
      <c r="E159" s="1" t="s">
        <v>25</v>
      </c>
      <c r="F159" s="1" t="s">
        <v>60</v>
      </c>
      <c r="G159" s="1" t="s">
        <v>447</v>
      </c>
      <c r="H159" s="1">
        <v>10</v>
      </c>
      <c r="I159" s="1">
        <v>49325</v>
      </c>
      <c r="J159" s="1">
        <v>7399</v>
      </c>
      <c r="K159" s="1">
        <v>89</v>
      </c>
      <c r="L159" s="1" t="s">
        <v>20</v>
      </c>
      <c r="M159" s="1" t="s">
        <v>21</v>
      </c>
      <c r="N159" s="6" t="s">
        <v>22</v>
      </c>
    </row>
    <row r="160" spans="1:14" x14ac:dyDescent="0.3">
      <c r="A160" s="5" t="s">
        <v>448</v>
      </c>
      <c r="B160" s="1" t="s">
        <v>330</v>
      </c>
      <c r="C160" s="1" t="s">
        <v>16</v>
      </c>
      <c r="D160" s="1">
        <v>37</v>
      </c>
      <c r="E160" s="1" t="s">
        <v>59</v>
      </c>
      <c r="F160" s="1" t="s">
        <v>18</v>
      </c>
      <c r="G160" s="1" t="s">
        <v>449</v>
      </c>
      <c r="H160" s="1">
        <v>11</v>
      </c>
      <c r="I160" s="1">
        <v>73045</v>
      </c>
      <c r="J160" s="1">
        <v>5113</v>
      </c>
      <c r="K160" s="1">
        <v>100</v>
      </c>
      <c r="L160" s="1" t="s">
        <v>69</v>
      </c>
      <c r="M160" s="1" t="s">
        <v>21</v>
      </c>
      <c r="N160" s="6" t="s">
        <v>35</v>
      </c>
    </row>
    <row r="161" spans="1:14" x14ac:dyDescent="0.3">
      <c r="A161" s="5" t="s">
        <v>450</v>
      </c>
      <c r="B161" s="1" t="s">
        <v>283</v>
      </c>
      <c r="C161" s="1" t="s">
        <v>16</v>
      </c>
      <c r="D161" s="1">
        <v>23</v>
      </c>
      <c r="E161" s="1" t="s">
        <v>25</v>
      </c>
      <c r="F161" s="1" t="s">
        <v>18</v>
      </c>
      <c r="G161" s="1" t="s">
        <v>451</v>
      </c>
      <c r="H161" s="1">
        <v>6</v>
      </c>
      <c r="I161" s="1">
        <v>72264</v>
      </c>
      <c r="J161" s="1">
        <v>5781</v>
      </c>
      <c r="K161" s="1">
        <v>94</v>
      </c>
      <c r="L161" s="1" t="s">
        <v>69</v>
      </c>
      <c r="M161" s="1" t="s">
        <v>21</v>
      </c>
      <c r="N161" s="6" t="s">
        <v>35</v>
      </c>
    </row>
    <row r="162" spans="1:14" x14ac:dyDescent="0.3">
      <c r="A162" s="5" t="s">
        <v>452</v>
      </c>
      <c r="B162" s="1" t="s">
        <v>208</v>
      </c>
      <c r="C162" s="1" t="s">
        <v>31</v>
      </c>
      <c r="D162" s="1">
        <v>31</v>
      </c>
      <c r="E162" s="1" t="s">
        <v>25</v>
      </c>
      <c r="F162" s="1" t="s">
        <v>85</v>
      </c>
      <c r="G162" s="1" t="s">
        <v>453</v>
      </c>
      <c r="H162" s="1">
        <v>13</v>
      </c>
      <c r="I162" s="1">
        <v>72103</v>
      </c>
      <c r="J162" s="1">
        <v>7210</v>
      </c>
      <c r="K162" s="1">
        <v>75</v>
      </c>
      <c r="L162" s="1" t="s">
        <v>34</v>
      </c>
      <c r="M162" s="1" t="s">
        <v>21</v>
      </c>
      <c r="N162" s="6" t="s">
        <v>44</v>
      </c>
    </row>
    <row r="163" spans="1:14" x14ac:dyDescent="0.3">
      <c r="A163" s="5" t="s">
        <v>454</v>
      </c>
      <c r="B163" s="1" t="s">
        <v>330</v>
      </c>
      <c r="C163" s="1" t="s">
        <v>31</v>
      </c>
      <c r="D163" s="1">
        <v>40</v>
      </c>
      <c r="E163" s="1" t="s">
        <v>47</v>
      </c>
      <c r="F163" s="1" t="s">
        <v>85</v>
      </c>
      <c r="G163" s="1" t="s">
        <v>455</v>
      </c>
      <c r="H163" s="1">
        <v>13</v>
      </c>
      <c r="I163" s="1">
        <v>37304</v>
      </c>
      <c r="J163" s="1">
        <v>3357</v>
      </c>
      <c r="K163" s="1">
        <v>83</v>
      </c>
      <c r="L163" s="1" t="s">
        <v>40</v>
      </c>
      <c r="M163" s="1" t="s">
        <v>21</v>
      </c>
      <c r="N163" s="6" t="s">
        <v>28</v>
      </c>
    </row>
    <row r="164" spans="1:14" x14ac:dyDescent="0.3">
      <c r="A164" s="5" t="s">
        <v>456</v>
      </c>
      <c r="B164" s="1" t="s">
        <v>242</v>
      </c>
      <c r="C164" s="1" t="s">
        <v>31</v>
      </c>
      <c r="D164" s="1">
        <v>49</v>
      </c>
      <c r="E164" s="1" t="s">
        <v>47</v>
      </c>
      <c r="F164" s="1" t="s">
        <v>67</v>
      </c>
      <c r="G164" s="1" t="s">
        <v>290</v>
      </c>
      <c r="H164" s="1">
        <v>15</v>
      </c>
      <c r="I164" s="1">
        <v>54886</v>
      </c>
      <c r="J164" s="1">
        <v>10428</v>
      </c>
      <c r="K164" s="1">
        <v>97</v>
      </c>
      <c r="L164" s="1" t="s">
        <v>34</v>
      </c>
      <c r="M164" s="1" t="s">
        <v>21</v>
      </c>
      <c r="N164" s="6" t="s">
        <v>22</v>
      </c>
    </row>
    <row r="165" spans="1:14" x14ac:dyDescent="0.3">
      <c r="A165" s="5" t="s">
        <v>457</v>
      </c>
      <c r="B165" s="1" t="s">
        <v>458</v>
      </c>
      <c r="C165" s="1" t="s">
        <v>16</v>
      </c>
      <c r="D165" s="1">
        <v>40</v>
      </c>
      <c r="E165" s="1" t="s">
        <v>17</v>
      </c>
      <c r="F165" s="1" t="s">
        <v>18</v>
      </c>
      <c r="G165" s="1" t="s">
        <v>459</v>
      </c>
      <c r="H165" s="1">
        <v>13</v>
      </c>
      <c r="I165" s="1">
        <v>48799</v>
      </c>
      <c r="J165" s="1">
        <v>7808</v>
      </c>
      <c r="K165" s="1">
        <v>78</v>
      </c>
      <c r="L165" s="1" t="s">
        <v>34</v>
      </c>
      <c r="M165" s="1" t="s">
        <v>21</v>
      </c>
      <c r="N165" s="6" t="s">
        <v>44</v>
      </c>
    </row>
    <row r="166" spans="1:14" x14ac:dyDescent="0.3">
      <c r="A166" s="5" t="s">
        <v>460</v>
      </c>
      <c r="B166" s="1" t="s">
        <v>119</v>
      </c>
      <c r="C166" s="1" t="s">
        <v>31</v>
      </c>
      <c r="D166" s="1">
        <v>37</v>
      </c>
      <c r="E166" s="1" t="s">
        <v>59</v>
      </c>
      <c r="F166" s="1" t="s">
        <v>75</v>
      </c>
      <c r="G166" s="1" t="s">
        <v>461</v>
      </c>
      <c r="H166" s="1">
        <v>7</v>
      </c>
      <c r="I166" s="1">
        <v>27189</v>
      </c>
      <c r="J166" s="1">
        <v>4894</v>
      </c>
      <c r="K166" s="1">
        <v>90</v>
      </c>
      <c r="L166" s="1" t="s">
        <v>34</v>
      </c>
      <c r="M166" s="1" t="s">
        <v>21</v>
      </c>
      <c r="N166" s="6" t="s">
        <v>22</v>
      </c>
    </row>
    <row r="167" spans="1:14" x14ac:dyDescent="0.3">
      <c r="A167" s="5" t="s">
        <v>462</v>
      </c>
      <c r="B167" s="1" t="s">
        <v>81</v>
      </c>
      <c r="C167" s="1" t="s">
        <v>16</v>
      </c>
      <c r="D167" s="1">
        <v>44</v>
      </c>
      <c r="E167" s="1" t="s">
        <v>25</v>
      </c>
      <c r="F167" s="1" t="s">
        <v>67</v>
      </c>
      <c r="G167" s="1" t="s">
        <v>463</v>
      </c>
      <c r="H167" s="1">
        <v>11</v>
      </c>
      <c r="I167" s="1">
        <v>34102</v>
      </c>
      <c r="J167" s="1">
        <v>1705</v>
      </c>
      <c r="K167" s="1">
        <v>97</v>
      </c>
      <c r="L167" s="1" t="s">
        <v>69</v>
      </c>
      <c r="M167" s="1" t="s">
        <v>21</v>
      </c>
      <c r="N167" s="6" t="s">
        <v>44</v>
      </c>
    </row>
    <row r="168" spans="1:14" x14ac:dyDescent="0.3">
      <c r="A168" s="5" t="s">
        <v>464</v>
      </c>
      <c r="B168" s="1" t="s">
        <v>289</v>
      </c>
      <c r="C168" s="1" t="s">
        <v>16</v>
      </c>
      <c r="D168" s="1">
        <v>36</v>
      </c>
      <c r="E168" s="1" t="s">
        <v>59</v>
      </c>
      <c r="F168" s="1" t="s">
        <v>60</v>
      </c>
      <c r="G168" s="1" t="s">
        <v>465</v>
      </c>
      <c r="H168" s="1">
        <v>0</v>
      </c>
      <c r="I168" s="1">
        <v>63552</v>
      </c>
      <c r="J168" s="1">
        <v>5720</v>
      </c>
      <c r="K168" s="1">
        <v>83</v>
      </c>
      <c r="L168" s="1" t="s">
        <v>34</v>
      </c>
      <c r="M168" s="1" t="s">
        <v>21</v>
      </c>
      <c r="N168" s="6" t="s">
        <v>44</v>
      </c>
    </row>
    <row r="169" spans="1:14" x14ac:dyDescent="0.3">
      <c r="A169" s="5" t="s">
        <v>466</v>
      </c>
      <c r="B169" s="1" t="s">
        <v>467</v>
      </c>
      <c r="C169" s="1" t="s">
        <v>16</v>
      </c>
      <c r="D169" s="1">
        <v>26</v>
      </c>
      <c r="E169" s="1" t="s">
        <v>47</v>
      </c>
      <c r="F169" s="1" t="s">
        <v>67</v>
      </c>
      <c r="G169" s="1" t="s">
        <v>313</v>
      </c>
      <c r="H169" s="1">
        <v>4</v>
      </c>
      <c r="I169" s="1">
        <v>56467</v>
      </c>
      <c r="J169" s="1">
        <v>6211</v>
      </c>
      <c r="K169" s="1">
        <v>95</v>
      </c>
      <c r="L169" s="1" t="s">
        <v>40</v>
      </c>
      <c r="M169" s="1" t="s">
        <v>21</v>
      </c>
      <c r="N169" s="6" t="s">
        <v>44</v>
      </c>
    </row>
    <row r="170" spans="1:14" x14ac:dyDescent="0.3">
      <c r="A170" s="5" t="s">
        <v>468</v>
      </c>
      <c r="B170" s="1" t="s">
        <v>469</v>
      </c>
      <c r="C170" s="1" t="s">
        <v>16</v>
      </c>
      <c r="D170" s="1">
        <v>29</v>
      </c>
      <c r="E170" s="1" t="s">
        <v>17</v>
      </c>
      <c r="F170" s="1" t="s">
        <v>85</v>
      </c>
      <c r="G170" s="1" t="s">
        <v>215</v>
      </c>
      <c r="H170" s="1">
        <v>11</v>
      </c>
      <c r="I170" s="1">
        <v>114495</v>
      </c>
      <c r="J170" s="1">
        <v>20609</v>
      </c>
      <c r="K170" s="1">
        <v>77</v>
      </c>
      <c r="L170" s="1" t="s">
        <v>40</v>
      </c>
      <c r="M170" s="1" t="s">
        <v>21</v>
      </c>
      <c r="N170" s="6" t="s">
        <v>44</v>
      </c>
    </row>
    <row r="171" spans="1:14" x14ac:dyDescent="0.3">
      <c r="A171" s="5" t="s">
        <v>470</v>
      </c>
      <c r="B171" s="1" t="s">
        <v>109</v>
      </c>
      <c r="C171" s="1" t="s">
        <v>31</v>
      </c>
      <c r="D171" s="1">
        <v>30</v>
      </c>
      <c r="E171" s="1" t="s">
        <v>38</v>
      </c>
      <c r="F171" s="1" t="s">
        <v>48</v>
      </c>
      <c r="G171" s="1" t="s">
        <v>471</v>
      </c>
      <c r="H171" s="1">
        <v>14</v>
      </c>
      <c r="I171" s="1">
        <v>28469</v>
      </c>
      <c r="J171" s="1">
        <v>1423</v>
      </c>
      <c r="K171" s="1">
        <v>99</v>
      </c>
      <c r="L171" s="1" t="s">
        <v>69</v>
      </c>
      <c r="M171" s="1" t="s">
        <v>21</v>
      </c>
      <c r="N171" s="6" t="s">
        <v>35</v>
      </c>
    </row>
    <row r="172" spans="1:14" x14ac:dyDescent="0.3">
      <c r="A172" s="5" t="s">
        <v>472</v>
      </c>
      <c r="B172" s="1" t="s">
        <v>167</v>
      </c>
      <c r="C172" s="1" t="s">
        <v>31</v>
      </c>
      <c r="D172" s="1">
        <v>26</v>
      </c>
      <c r="E172" s="1" t="s">
        <v>17</v>
      </c>
      <c r="F172" s="1" t="s">
        <v>67</v>
      </c>
      <c r="G172" s="1" t="s">
        <v>473</v>
      </c>
      <c r="H172" s="1">
        <v>14</v>
      </c>
      <c r="I172" s="1">
        <v>35372</v>
      </c>
      <c r="J172" s="1">
        <v>1769</v>
      </c>
      <c r="K172" s="1">
        <v>94</v>
      </c>
      <c r="L172" s="1" t="s">
        <v>40</v>
      </c>
      <c r="M172" s="1" t="s">
        <v>21</v>
      </c>
      <c r="N172" s="6" t="s">
        <v>35</v>
      </c>
    </row>
    <row r="173" spans="1:14" x14ac:dyDescent="0.3">
      <c r="A173" s="5" t="s">
        <v>474</v>
      </c>
      <c r="B173" s="1" t="s">
        <v>475</v>
      </c>
      <c r="C173" s="1" t="s">
        <v>31</v>
      </c>
      <c r="D173" s="1">
        <v>43</v>
      </c>
      <c r="E173" s="1" t="s">
        <v>59</v>
      </c>
      <c r="F173" s="1" t="s">
        <v>67</v>
      </c>
      <c r="G173" s="1" t="s">
        <v>476</v>
      </c>
      <c r="H173" s="1">
        <v>6</v>
      </c>
      <c r="I173" s="1">
        <v>111707</v>
      </c>
      <c r="J173" s="1">
        <v>20107</v>
      </c>
      <c r="K173" s="1">
        <v>89</v>
      </c>
      <c r="L173" s="1" t="s">
        <v>20</v>
      </c>
      <c r="M173" s="1" t="s">
        <v>21</v>
      </c>
      <c r="N173" s="6" t="s">
        <v>44</v>
      </c>
    </row>
    <row r="174" spans="1:14" x14ac:dyDescent="0.3">
      <c r="A174" s="5" t="s">
        <v>477</v>
      </c>
      <c r="B174" s="1" t="s">
        <v>430</v>
      </c>
      <c r="C174" s="1" t="s">
        <v>31</v>
      </c>
      <c r="D174" s="1">
        <v>28</v>
      </c>
      <c r="E174" s="1" t="s">
        <v>59</v>
      </c>
      <c r="F174" s="1" t="s">
        <v>18</v>
      </c>
      <c r="G174" s="1" t="s">
        <v>478</v>
      </c>
      <c r="H174" s="1">
        <v>12</v>
      </c>
      <c r="I174" s="1">
        <v>61053</v>
      </c>
      <c r="J174" s="1">
        <v>7326</v>
      </c>
      <c r="K174" s="1">
        <v>75</v>
      </c>
      <c r="L174" s="1" t="s">
        <v>34</v>
      </c>
      <c r="M174" s="1" t="s">
        <v>21</v>
      </c>
      <c r="N174" s="6" t="s">
        <v>22</v>
      </c>
    </row>
    <row r="175" spans="1:14" x14ac:dyDescent="0.3">
      <c r="A175" s="5" t="s">
        <v>479</v>
      </c>
      <c r="B175" s="1" t="s">
        <v>480</v>
      </c>
      <c r="C175" s="1" t="s">
        <v>16</v>
      </c>
      <c r="D175" s="1">
        <v>23</v>
      </c>
      <c r="E175" s="1" t="s">
        <v>38</v>
      </c>
      <c r="F175" s="1" t="s">
        <v>60</v>
      </c>
      <c r="G175" s="1" t="s">
        <v>481</v>
      </c>
      <c r="H175" s="1">
        <v>0</v>
      </c>
      <c r="I175" s="1">
        <v>87241</v>
      </c>
      <c r="J175" s="1">
        <v>12214</v>
      </c>
      <c r="K175" s="1">
        <v>89</v>
      </c>
      <c r="L175" s="1" t="s">
        <v>20</v>
      </c>
      <c r="M175" s="1" t="s">
        <v>21</v>
      </c>
      <c r="N175" s="6" t="s">
        <v>28</v>
      </c>
    </row>
    <row r="176" spans="1:14" x14ac:dyDescent="0.3">
      <c r="A176" s="5" t="s">
        <v>482</v>
      </c>
      <c r="B176" s="1" t="s">
        <v>330</v>
      </c>
      <c r="C176" s="1" t="s">
        <v>16</v>
      </c>
      <c r="D176" s="1">
        <v>42</v>
      </c>
      <c r="E176" s="1" t="s">
        <v>17</v>
      </c>
      <c r="F176" s="1" t="s">
        <v>18</v>
      </c>
      <c r="G176" s="1" t="s">
        <v>483</v>
      </c>
      <c r="H176" s="1">
        <v>1</v>
      </c>
      <c r="I176" s="1">
        <v>55434</v>
      </c>
      <c r="J176" s="1">
        <v>9978</v>
      </c>
      <c r="K176" s="1">
        <v>83</v>
      </c>
      <c r="L176" s="1" t="s">
        <v>34</v>
      </c>
      <c r="M176" s="1" t="s">
        <v>21</v>
      </c>
      <c r="N176" s="6" t="s">
        <v>50</v>
      </c>
    </row>
    <row r="177" spans="1:14" x14ac:dyDescent="0.3">
      <c r="A177" s="5" t="s">
        <v>484</v>
      </c>
      <c r="B177" s="1" t="s">
        <v>485</v>
      </c>
      <c r="C177" s="1" t="s">
        <v>16</v>
      </c>
      <c r="D177" s="1">
        <v>29</v>
      </c>
      <c r="E177" s="1" t="s">
        <v>32</v>
      </c>
      <c r="F177" s="1" t="s">
        <v>60</v>
      </c>
      <c r="G177" s="1" t="s">
        <v>486</v>
      </c>
      <c r="H177" s="1">
        <v>6</v>
      </c>
      <c r="I177" s="1">
        <v>48622</v>
      </c>
      <c r="J177" s="1">
        <v>5348</v>
      </c>
      <c r="K177" s="1">
        <v>99</v>
      </c>
      <c r="L177" s="1" t="s">
        <v>69</v>
      </c>
      <c r="M177" s="1" t="s">
        <v>21</v>
      </c>
      <c r="N177" s="6" t="s">
        <v>50</v>
      </c>
    </row>
    <row r="178" spans="1:14" x14ac:dyDescent="0.3">
      <c r="A178" s="5" t="s">
        <v>487</v>
      </c>
      <c r="B178" s="1" t="s">
        <v>35</v>
      </c>
      <c r="C178" s="1" t="s">
        <v>16</v>
      </c>
      <c r="D178" s="1">
        <v>50</v>
      </c>
      <c r="E178" s="1" t="s">
        <v>47</v>
      </c>
      <c r="F178" s="1" t="s">
        <v>67</v>
      </c>
      <c r="G178" s="1" t="s">
        <v>488</v>
      </c>
      <c r="H178" s="1">
        <v>8</v>
      </c>
      <c r="I178" s="1">
        <v>106100</v>
      </c>
      <c r="J178" s="1">
        <v>12732</v>
      </c>
      <c r="K178" s="1">
        <v>82</v>
      </c>
      <c r="L178" s="1" t="s">
        <v>69</v>
      </c>
      <c r="M178" s="1" t="s">
        <v>21</v>
      </c>
      <c r="N178" s="6" t="s">
        <v>50</v>
      </c>
    </row>
    <row r="179" spans="1:14" x14ac:dyDescent="0.3">
      <c r="A179" s="5" t="s">
        <v>489</v>
      </c>
      <c r="B179" s="1" t="s">
        <v>187</v>
      </c>
      <c r="C179" s="1" t="s">
        <v>16</v>
      </c>
      <c r="D179" s="1">
        <v>45</v>
      </c>
      <c r="E179" s="1" t="s">
        <v>47</v>
      </c>
      <c r="F179" s="1" t="s">
        <v>67</v>
      </c>
      <c r="G179" s="1" t="s">
        <v>490</v>
      </c>
      <c r="H179" s="1">
        <v>7</v>
      </c>
      <c r="I179" s="1">
        <v>52937</v>
      </c>
      <c r="J179" s="1">
        <v>6882</v>
      </c>
      <c r="K179" s="1">
        <v>89</v>
      </c>
      <c r="L179" s="1" t="s">
        <v>34</v>
      </c>
      <c r="M179" s="1" t="s">
        <v>21</v>
      </c>
      <c r="N179" s="6" t="s">
        <v>50</v>
      </c>
    </row>
    <row r="180" spans="1:14" x14ac:dyDescent="0.3">
      <c r="A180" s="5" t="s">
        <v>491</v>
      </c>
      <c r="B180" s="1" t="s">
        <v>103</v>
      </c>
      <c r="C180" s="1" t="s">
        <v>31</v>
      </c>
      <c r="D180" s="1">
        <v>30</v>
      </c>
      <c r="E180" s="1" t="s">
        <v>25</v>
      </c>
      <c r="F180" s="1" t="s">
        <v>26</v>
      </c>
      <c r="G180" s="1" t="s">
        <v>492</v>
      </c>
      <c r="H180" s="1">
        <v>11</v>
      </c>
      <c r="I180" s="1">
        <v>43034</v>
      </c>
      <c r="J180" s="1">
        <v>7746</v>
      </c>
      <c r="K180" s="1">
        <v>89</v>
      </c>
      <c r="L180" s="1" t="s">
        <v>34</v>
      </c>
      <c r="M180" s="1" t="s">
        <v>21</v>
      </c>
      <c r="N180" s="6" t="s">
        <v>28</v>
      </c>
    </row>
    <row r="181" spans="1:14" x14ac:dyDescent="0.3">
      <c r="A181" s="5" t="s">
        <v>493</v>
      </c>
      <c r="B181" s="1" t="s">
        <v>494</v>
      </c>
      <c r="C181" s="1" t="s">
        <v>16</v>
      </c>
      <c r="D181" s="1">
        <v>48</v>
      </c>
      <c r="E181" s="1" t="s">
        <v>47</v>
      </c>
      <c r="F181" s="1" t="s">
        <v>60</v>
      </c>
      <c r="G181" s="1" t="s">
        <v>495</v>
      </c>
      <c r="H181" s="1">
        <v>4</v>
      </c>
      <c r="I181" s="1">
        <v>61181</v>
      </c>
      <c r="J181" s="1">
        <v>5506</v>
      </c>
      <c r="K181" s="1">
        <v>81</v>
      </c>
      <c r="L181" s="1" t="s">
        <v>69</v>
      </c>
      <c r="M181" s="1" t="s">
        <v>21</v>
      </c>
      <c r="N181" s="6" t="s">
        <v>28</v>
      </c>
    </row>
    <row r="182" spans="1:14" x14ac:dyDescent="0.3">
      <c r="A182" s="5" t="s">
        <v>496</v>
      </c>
      <c r="B182" s="1" t="s">
        <v>22</v>
      </c>
      <c r="C182" s="1" t="s">
        <v>31</v>
      </c>
      <c r="D182" s="1">
        <v>44</v>
      </c>
      <c r="E182" s="1" t="s">
        <v>17</v>
      </c>
      <c r="F182" s="1" t="s">
        <v>60</v>
      </c>
      <c r="G182" s="1" t="s">
        <v>497</v>
      </c>
      <c r="H182" s="1">
        <v>6</v>
      </c>
      <c r="I182" s="1">
        <v>102559</v>
      </c>
      <c r="J182" s="1">
        <v>20512</v>
      </c>
      <c r="K182" s="1">
        <v>94</v>
      </c>
      <c r="L182" s="1" t="s">
        <v>69</v>
      </c>
      <c r="M182" s="1" t="s">
        <v>21</v>
      </c>
      <c r="N182" s="6" t="s">
        <v>35</v>
      </c>
    </row>
    <row r="183" spans="1:14" x14ac:dyDescent="0.3">
      <c r="A183" s="5" t="s">
        <v>498</v>
      </c>
      <c r="B183" s="1" t="s">
        <v>155</v>
      </c>
      <c r="C183" s="1" t="s">
        <v>31</v>
      </c>
      <c r="D183" s="1">
        <v>24</v>
      </c>
      <c r="E183" s="1" t="s">
        <v>59</v>
      </c>
      <c r="F183" s="1" t="s">
        <v>18</v>
      </c>
      <c r="G183" s="1" t="s">
        <v>499</v>
      </c>
      <c r="H183" s="1">
        <v>12</v>
      </c>
      <c r="I183" s="1">
        <v>86679</v>
      </c>
      <c r="J183" s="1">
        <v>4334</v>
      </c>
      <c r="K183" s="1">
        <v>92</v>
      </c>
      <c r="L183" s="1" t="s">
        <v>40</v>
      </c>
      <c r="M183" s="1" t="s">
        <v>21</v>
      </c>
      <c r="N183" s="6" t="s">
        <v>50</v>
      </c>
    </row>
    <row r="184" spans="1:14" x14ac:dyDescent="0.3">
      <c r="A184" s="5" t="s">
        <v>500</v>
      </c>
      <c r="B184" s="1" t="s">
        <v>305</v>
      </c>
      <c r="C184" s="1" t="s">
        <v>31</v>
      </c>
      <c r="D184" s="1">
        <v>29</v>
      </c>
      <c r="E184" s="1" t="s">
        <v>17</v>
      </c>
      <c r="F184" s="1" t="s">
        <v>48</v>
      </c>
      <c r="G184" s="1" t="s">
        <v>501</v>
      </c>
      <c r="H184" s="1">
        <v>8</v>
      </c>
      <c r="I184" s="1">
        <v>90034</v>
      </c>
      <c r="J184" s="1">
        <v>9904</v>
      </c>
      <c r="K184" s="1">
        <v>87</v>
      </c>
      <c r="L184" s="1" t="s">
        <v>40</v>
      </c>
      <c r="M184" s="1" t="s">
        <v>21</v>
      </c>
      <c r="N184" s="6" t="s">
        <v>22</v>
      </c>
    </row>
    <row r="185" spans="1:14" x14ac:dyDescent="0.3">
      <c r="A185" s="5" t="s">
        <v>502</v>
      </c>
      <c r="B185" s="1" t="s">
        <v>407</v>
      </c>
      <c r="C185" s="1" t="s">
        <v>16</v>
      </c>
      <c r="D185" s="1">
        <v>32</v>
      </c>
      <c r="E185" s="1" t="s">
        <v>32</v>
      </c>
      <c r="F185" s="1" t="s">
        <v>67</v>
      </c>
      <c r="G185" s="1" t="s">
        <v>503</v>
      </c>
      <c r="H185" s="1">
        <v>12</v>
      </c>
      <c r="I185" s="1">
        <v>33230</v>
      </c>
      <c r="J185" s="1">
        <v>6646</v>
      </c>
      <c r="K185" s="1">
        <v>99</v>
      </c>
      <c r="L185" s="1" t="s">
        <v>34</v>
      </c>
      <c r="M185" s="1" t="s">
        <v>21</v>
      </c>
      <c r="N185" s="6" t="s">
        <v>22</v>
      </c>
    </row>
    <row r="186" spans="1:14" x14ac:dyDescent="0.3">
      <c r="A186" s="5" t="s">
        <v>504</v>
      </c>
      <c r="B186" s="1" t="s">
        <v>475</v>
      </c>
      <c r="C186" s="1" t="s">
        <v>16</v>
      </c>
      <c r="D186" s="1">
        <v>49</v>
      </c>
      <c r="E186" s="1" t="s">
        <v>25</v>
      </c>
      <c r="F186" s="1" t="s">
        <v>85</v>
      </c>
      <c r="G186" s="1" t="s">
        <v>505</v>
      </c>
      <c r="H186" s="1">
        <v>8</v>
      </c>
      <c r="I186" s="1">
        <v>29493</v>
      </c>
      <c r="J186" s="1">
        <v>3834</v>
      </c>
      <c r="K186" s="1">
        <v>92</v>
      </c>
      <c r="L186" s="1" t="s">
        <v>34</v>
      </c>
      <c r="M186" s="1" t="s">
        <v>21</v>
      </c>
      <c r="N186" s="6" t="s">
        <v>28</v>
      </c>
    </row>
    <row r="187" spans="1:14" x14ac:dyDescent="0.3">
      <c r="A187" s="5" t="s">
        <v>506</v>
      </c>
      <c r="B187" s="1" t="s">
        <v>106</v>
      </c>
      <c r="C187" s="1" t="s">
        <v>16</v>
      </c>
      <c r="D187" s="1">
        <v>40</v>
      </c>
      <c r="E187" s="1" t="s">
        <v>25</v>
      </c>
      <c r="F187" s="1" t="s">
        <v>60</v>
      </c>
      <c r="G187" s="1" t="s">
        <v>507</v>
      </c>
      <c r="H187" s="1">
        <v>9</v>
      </c>
      <c r="I187" s="1">
        <v>100176</v>
      </c>
      <c r="J187" s="1">
        <v>16028</v>
      </c>
      <c r="K187" s="1">
        <v>93</v>
      </c>
      <c r="L187" s="1" t="s">
        <v>40</v>
      </c>
      <c r="M187" s="1" t="s">
        <v>21</v>
      </c>
      <c r="N187" s="6" t="s">
        <v>50</v>
      </c>
    </row>
    <row r="188" spans="1:14" x14ac:dyDescent="0.3">
      <c r="A188" s="5" t="s">
        <v>508</v>
      </c>
      <c r="B188" s="1" t="s">
        <v>251</v>
      </c>
      <c r="C188" s="1" t="s">
        <v>31</v>
      </c>
      <c r="D188" s="1">
        <v>45</v>
      </c>
      <c r="E188" s="1" t="s">
        <v>38</v>
      </c>
      <c r="F188" s="1" t="s">
        <v>75</v>
      </c>
      <c r="G188" s="1" t="s">
        <v>509</v>
      </c>
      <c r="H188" s="1">
        <v>13</v>
      </c>
      <c r="I188" s="1">
        <v>98394</v>
      </c>
      <c r="J188" s="1">
        <v>12791</v>
      </c>
      <c r="K188" s="1">
        <v>82</v>
      </c>
      <c r="L188" s="1" t="s">
        <v>20</v>
      </c>
      <c r="M188" s="1" t="s">
        <v>21</v>
      </c>
      <c r="N188" s="6" t="s">
        <v>35</v>
      </c>
    </row>
    <row r="189" spans="1:14" x14ac:dyDescent="0.3">
      <c r="A189" s="5" t="s">
        <v>510</v>
      </c>
      <c r="B189" s="1" t="s">
        <v>214</v>
      </c>
      <c r="C189" s="1" t="s">
        <v>16</v>
      </c>
      <c r="D189" s="1">
        <v>42</v>
      </c>
      <c r="E189" s="1" t="s">
        <v>32</v>
      </c>
      <c r="F189" s="1" t="s">
        <v>48</v>
      </c>
      <c r="G189" s="1" t="s">
        <v>72</v>
      </c>
      <c r="H189" s="1">
        <v>13</v>
      </c>
      <c r="I189" s="1">
        <v>49822</v>
      </c>
      <c r="J189" s="1">
        <v>9466</v>
      </c>
      <c r="K189" s="1">
        <v>77</v>
      </c>
      <c r="L189" s="1" t="s">
        <v>20</v>
      </c>
      <c r="M189" s="1" t="s">
        <v>21</v>
      </c>
      <c r="N189" s="6" t="s">
        <v>44</v>
      </c>
    </row>
    <row r="190" spans="1:14" x14ac:dyDescent="0.3">
      <c r="A190" s="5" t="s">
        <v>511</v>
      </c>
      <c r="B190" s="1" t="s">
        <v>257</v>
      </c>
      <c r="C190" s="1" t="s">
        <v>16</v>
      </c>
      <c r="D190" s="1">
        <v>24</v>
      </c>
      <c r="E190" s="1" t="s">
        <v>59</v>
      </c>
      <c r="F190" s="1" t="s">
        <v>67</v>
      </c>
      <c r="G190" s="1" t="s">
        <v>512</v>
      </c>
      <c r="H190" s="1">
        <v>7</v>
      </c>
      <c r="I190" s="1">
        <v>69132</v>
      </c>
      <c r="J190" s="1">
        <v>4148</v>
      </c>
      <c r="K190" s="1">
        <v>86</v>
      </c>
      <c r="L190" s="1" t="s">
        <v>40</v>
      </c>
      <c r="M190" s="1" t="s">
        <v>21</v>
      </c>
      <c r="N190" s="6" t="s">
        <v>50</v>
      </c>
    </row>
    <row r="191" spans="1:14" x14ac:dyDescent="0.3">
      <c r="A191" s="5" t="s">
        <v>513</v>
      </c>
      <c r="B191" s="1" t="s">
        <v>514</v>
      </c>
      <c r="C191" s="1" t="s">
        <v>31</v>
      </c>
      <c r="D191" s="1">
        <v>47</v>
      </c>
      <c r="E191" s="1" t="s">
        <v>38</v>
      </c>
      <c r="F191" s="1" t="s">
        <v>67</v>
      </c>
      <c r="G191" s="1" t="s">
        <v>515</v>
      </c>
      <c r="H191" s="1">
        <v>5</v>
      </c>
      <c r="I191" s="1">
        <v>115576</v>
      </c>
      <c r="J191" s="1">
        <v>23115</v>
      </c>
      <c r="K191" s="1">
        <v>76</v>
      </c>
      <c r="L191" s="1" t="s">
        <v>69</v>
      </c>
      <c r="M191" s="1" t="s">
        <v>21</v>
      </c>
      <c r="N191" s="6" t="s">
        <v>44</v>
      </c>
    </row>
    <row r="192" spans="1:14" x14ac:dyDescent="0.3">
      <c r="A192" s="5" t="s">
        <v>516</v>
      </c>
      <c r="B192" s="1" t="s">
        <v>167</v>
      </c>
      <c r="C192" s="1" t="s">
        <v>31</v>
      </c>
      <c r="D192" s="1">
        <v>38</v>
      </c>
      <c r="E192" s="1" t="s">
        <v>47</v>
      </c>
      <c r="F192" s="1" t="s">
        <v>85</v>
      </c>
      <c r="G192" s="1" t="s">
        <v>517</v>
      </c>
      <c r="H192" s="1">
        <v>5</v>
      </c>
      <c r="I192" s="1">
        <v>64461</v>
      </c>
      <c r="J192" s="1">
        <v>9025</v>
      </c>
      <c r="K192" s="1">
        <v>96</v>
      </c>
      <c r="L192" s="1" t="s">
        <v>69</v>
      </c>
      <c r="M192" s="1" t="s">
        <v>21</v>
      </c>
      <c r="N192" s="6" t="s">
        <v>44</v>
      </c>
    </row>
    <row r="193" spans="1:14" x14ac:dyDescent="0.3">
      <c r="A193" s="5" t="s">
        <v>518</v>
      </c>
      <c r="B193" s="1" t="s">
        <v>187</v>
      </c>
      <c r="C193" s="1" t="s">
        <v>31</v>
      </c>
      <c r="D193" s="1">
        <v>40</v>
      </c>
      <c r="E193" s="1" t="s">
        <v>25</v>
      </c>
      <c r="F193" s="1" t="s">
        <v>48</v>
      </c>
      <c r="G193" s="1" t="s">
        <v>519</v>
      </c>
      <c r="H193" s="1">
        <v>5</v>
      </c>
      <c r="I193" s="1">
        <v>71431</v>
      </c>
      <c r="J193" s="1">
        <v>6429</v>
      </c>
      <c r="K193" s="1">
        <v>86</v>
      </c>
      <c r="L193" s="1" t="s">
        <v>20</v>
      </c>
      <c r="M193" s="1" t="s">
        <v>21</v>
      </c>
      <c r="N193" s="6" t="s">
        <v>22</v>
      </c>
    </row>
    <row r="194" spans="1:14" x14ac:dyDescent="0.3">
      <c r="A194" s="5" t="s">
        <v>520</v>
      </c>
      <c r="B194" s="1" t="s">
        <v>467</v>
      </c>
      <c r="C194" s="1" t="s">
        <v>16</v>
      </c>
      <c r="D194" s="1">
        <v>37</v>
      </c>
      <c r="E194" s="1" t="s">
        <v>32</v>
      </c>
      <c r="F194" s="1" t="s">
        <v>75</v>
      </c>
      <c r="G194" s="1" t="s">
        <v>521</v>
      </c>
      <c r="H194" s="1">
        <v>12</v>
      </c>
      <c r="I194" s="1">
        <v>113177</v>
      </c>
      <c r="J194" s="1">
        <v>16977</v>
      </c>
      <c r="K194" s="1">
        <v>91</v>
      </c>
      <c r="L194" s="1" t="s">
        <v>20</v>
      </c>
      <c r="M194" s="1" t="s">
        <v>117</v>
      </c>
      <c r="N194" s="6" t="s">
        <v>28</v>
      </c>
    </row>
    <row r="195" spans="1:14" x14ac:dyDescent="0.3">
      <c r="A195" s="5" t="s">
        <v>522</v>
      </c>
      <c r="B195" s="1" t="s">
        <v>523</v>
      </c>
      <c r="C195" s="1" t="s">
        <v>16</v>
      </c>
      <c r="D195" s="1">
        <v>35</v>
      </c>
      <c r="E195" s="1" t="s">
        <v>47</v>
      </c>
      <c r="F195" s="1" t="s">
        <v>75</v>
      </c>
      <c r="G195" s="1" t="s">
        <v>524</v>
      </c>
      <c r="H195" s="1">
        <v>12</v>
      </c>
      <c r="I195" s="1">
        <v>77354</v>
      </c>
      <c r="J195" s="1">
        <v>6962</v>
      </c>
      <c r="K195" s="1">
        <v>82</v>
      </c>
      <c r="L195" s="1" t="s">
        <v>69</v>
      </c>
      <c r="M195" s="1" t="s">
        <v>21</v>
      </c>
      <c r="N195" s="6" t="s">
        <v>44</v>
      </c>
    </row>
    <row r="196" spans="1:14" x14ac:dyDescent="0.3">
      <c r="A196" s="5" t="s">
        <v>525</v>
      </c>
      <c r="B196" s="1" t="s">
        <v>526</v>
      </c>
      <c r="C196" s="1" t="s">
        <v>31</v>
      </c>
      <c r="D196" s="1">
        <v>48</v>
      </c>
      <c r="E196" s="1" t="s">
        <v>47</v>
      </c>
      <c r="F196" s="1" t="s">
        <v>26</v>
      </c>
      <c r="G196" s="1" t="s">
        <v>527</v>
      </c>
      <c r="H196" s="1">
        <v>9</v>
      </c>
      <c r="I196" s="1">
        <v>117735</v>
      </c>
      <c r="J196" s="1">
        <v>15306</v>
      </c>
      <c r="K196" s="1">
        <v>83</v>
      </c>
      <c r="L196" s="1" t="s">
        <v>40</v>
      </c>
      <c r="M196" s="1" t="s">
        <v>21</v>
      </c>
      <c r="N196" s="6" t="s">
        <v>22</v>
      </c>
    </row>
    <row r="197" spans="1:14" x14ac:dyDescent="0.3">
      <c r="A197" s="5" t="s">
        <v>528</v>
      </c>
      <c r="B197" s="1" t="s">
        <v>529</v>
      </c>
      <c r="C197" s="1" t="s">
        <v>31</v>
      </c>
      <c r="D197" s="1">
        <v>34</v>
      </c>
      <c r="E197" s="1" t="s">
        <v>59</v>
      </c>
      <c r="F197" s="1" t="s">
        <v>18</v>
      </c>
      <c r="G197" s="1" t="s">
        <v>530</v>
      </c>
      <c r="H197" s="1">
        <v>8</v>
      </c>
      <c r="I197" s="1">
        <v>108954</v>
      </c>
      <c r="J197" s="1">
        <v>14164</v>
      </c>
      <c r="K197" s="1">
        <v>75</v>
      </c>
      <c r="L197" s="1" t="s">
        <v>20</v>
      </c>
      <c r="M197" s="1" t="s">
        <v>21</v>
      </c>
      <c r="N197" s="6" t="s">
        <v>44</v>
      </c>
    </row>
    <row r="198" spans="1:14" x14ac:dyDescent="0.3">
      <c r="A198" s="5" t="s">
        <v>531</v>
      </c>
      <c r="B198" s="1" t="s">
        <v>74</v>
      </c>
      <c r="C198" s="1" t="s">
        <v>31</v>
      </c>
      <c r="D198" s="1">
        <v>27</v>
      </c>
      <c r="E198" s="1" t="s">
        <v>32</v>
      </c>
      <c r="F198" s="1" t="s">
        <v>67</v>
      </c>
      <c r="G198" s="1" t="s">
        <v>532</v>
      </c>
      <c r="H198" s="1">
        <v>0</v>
      </c>
      <c r="I198" s="1">
        <v>98150</v>
      </c>
      <c r="J198" s="1">
        <v>12760</v>
      </c>
      <c r="K198" s="1">
        <v>86</v>
      </c>
      <c r="L198" s="1" t="s">
        <v>40</v>
      </c>
      <c r="M198" s="1" t="s">
        <v>21</v>
      </c>
      <c r="N198" s="6" t="s">
        <v>28</v>
      </c>
    </row>
    <row r="199" spans="1:14" x14ac:dyDescent="0.3">
      <c r="A199" s="5" t="s">
        <v>533</v>
      </c>
      <c r="B199" s="1" t="s">
        <v>458</v>
      </c>
      <c r="C199" s="1" t="s">
        <v>16</v>
      </c>
      <c r="D199" s="1">
        <v>25</v>
      </c>
      <c r="E199" s="1" t="s">
        <v>25</v>
      </c>
      <c r="F199" s="1" t="s">
        <v>48</v>
      </c>
      <c r="G199" s="1" t="s">
        <v>534</v>
      </c>
      <c r="H199" s="1">
        <v>10</v>
      </c>
      <c r="I199" s="1">
        <v>91876</v>
      </c>
      <c r="J199" s="1">
        <v>6431</v>
      </c>
      <c r="K199" s="1">
        <v>87</v>
      </c>
      <c r="L199" s="1" t="s">
        <v>34</v>
      </c>
      <c r="M199" s="1" t="s">
        <v>21</v>
      </c>
      <c r="N199" s="6" t="s">
        <v>35</v>
      </c>
    </row>
    <row r="200" spans="1:14" x14ac:dyDescent="0.3">
      <c r="A200" s="5" t="s">
        <v>535</v>
      </c>
      <c r="B200" s="1" t="s">
        <v>232</v>
      </c>
      <c r="C200" s="1" t="s">
        <v>16</v>
      </c>
      <c r="D200" s="1">
        <v>41</v>
      </c>
      <c r="E200" s="1" t="s">
        <v>25</v>
      </c>
      <c r="F200" s="1" t="s">
        <v>75</v>
      </c>
      <c r="G200" s="1" t="s">
        <v>536</v>
      </c>
      <c r="H200" s="1">
        <v>0</v>
      </c>
      <c r="I200" s="1">
        <v>103855</v>
      </c>
      <c r="J200" s="1">
        <v>13501</v>
      </c>
      <c r="K200" s="1">
        <v>87</v>
      </c>
      <c r="L200" s="1" t="s">
        <v>69</v>
      </c>
      <c r="M200" s="1" t="s">
        <v>21</v>
      </c>
      <c r="N200" s="6" t="s">
        <v>22</v>
      </c>
    </row>
    <row r="201" spans="1:14" x14ac:dyDescent="0.3">
      <c r="A201" s="5" t="s">
        <v>537</v>
      </c>
      <c r="B201" s="1" t="s">
        <v>538</v>
      </c>
      <c r="C201" s="1" t="s">
        <v>31</v>
      </c>
      <c r="D201" s="1">
        <v>38</v>
      </c>
      <c r="E201" s="1" t="s">
        <v>59</v>
      </c>
      <c r="F201" s="1" t="s">
        <v>60</v>
      </c>
      <c r="G201" s="1" t="s">
        <v>539</v>
      </c>
      <c r="H201" s="1">
        <v>3</v>
      </c>
      <c r="I201" s="1">
        <v>104773</v>
      </c>
      <c r="J201" s="1">
        <v>18859</v>
      </c>
      <c r="K201" s="1">
        <v>84</v>
      </c>
      <c r="L201" s="1" t="s">
        <v>20</v>
      </c>
      <c r="M201" s="1" t="s">
        <v>21</v>
      </c>
      <c r="N201" s="6" t="s">
        <v>35</v>
      </c>
    </row>
    <row r="202" spans="1:14" x14ac:dyDescent="0.3">
      <c r="A202" s="5" t="s">
        <v>540</v>
      </c>
      <c r="B202" s="1" t="s">
        <v>541</v>
      </c>
      <c r="C202" s="1" t="s">
        <v>16</v>
      </c>
      <c r="D202" s="1">
        <v>32</v>
      </c>
      <c r="E202" s="1" t="s">
        <v>59</v>
      </c>
      <c r="F202" s="1" t="s">
        <v>26</v>
      </c>
      <c r="G202" s="1" t="s">
        <v>542</v>
      </c>
      <c r="H202" s="1">
        <v>10</v>
      </c>
      <c r="I202" s="1">
        <v>96958</v>
      </c>
      <c r="J202" s="1">
        <v>11635</v>
      </c>
      <c r="K202" s="1">
        <v>84</v>
      </c>
      <c r="L202" s="1" t="s">
        <v>40</v>
      </c>
      <c r="M202" s="1" t="s">
        <v>21</v>
      </c>
      <c r="N202" s="6" t="s">
        <v>28</v>
      </c>
    </row>
    <row r="203" spans="1:14" x14ac:dyDescent="0.3">
      <c r="A203" s="5" t="s">
        <v>543</v>
      </c>
      <c r="B203" s="1" t="s">
        <v>46</v>
      </c>
      <c r="C203" s="1" t="s">
        <v>16</v>
      </c>
      <c r="D203" s="1">
        <v>45</v>
      </c>
      <c r="E203" s="1" t="s">
        <v>38</v>
      </c>
      <c r="F203" s="1" t="s">
        <v>26</v>
      </c>
      <c r="G203" s="1" t="s">
        <v>89</v>
      </c>
      <c r="H203" s="1">
        <v>2</v>
      </c>
      <c r="I203" s="1">
        <v>30158</v>
      </c>
      <c r="J203" s="1">
        <v>3619</v>
      </c>
      <c r="K203" s="1">
        <v>99</v>
      </c>
      <c r="L203" s="1" t="s">
        <v>40</v>
      </c>
      <c r="M203" s="1" t="s">
        <v>21</v>
      </c>
      <c r="N203" s="6" t="s">
        <v>35</v>
      </c>
    </row>
    <row r="204" spans="1:14" x14ac:dyDescent="0.3">
      <c r="A204" s="5" t="s">
        <v>544</v>
      </c>
      <c r="B204" s="1" t="s">
        <v>119</v>
      </c>
      <c r="C204" s="1" t="s">
        <v>16</v>
      </c>
      <c r="D204" s="1">
        <v>35</v>
      </c>
      <c r="E204" s="1" t="s">
        <v>59</v>
      </c>
      <c r="F204" s="1" t="s">
        <v>60</v>
      </c>
      <c r="G204" s="1" t="s">
        <v>545</v>
      </c>
      <c r="H204" s="1">
        <v>5</v>
      </c>
      <c r="I204" s="1">
        <v>103644</v>
      </c>
      <c r="J204" s="1">
        <v>12437</v>
      </c>
      <c r="K204" s="1">
        <v>86</v>
      </c>
      <c r="L204" s="1" t="s">
        <v>40</v>
      </c>
      <c r="M204" s="1" t="s">
        <v>21</v>
      </c>
      <c r="N204" s="6" t="s">
        <v>44</v>
      </c>
    </row>
    <row r="205" spans="1:14" x14ac:dyDescent="0.3">
      <c r="A205" s="5" t="s">
        <v>546</v>
      </c>
      <c r="B205" s="1" t="s">
        <v>547</v>
      </c>
      <c r="C205" s="1" t="s">
        <v>31</v>
      </c>
      <c r="D205" s="1">
        <v>41</v>
      </c>
      <c r="E205" s="1" t="s">
        <v>25</v>
      </c>
      <c r="F205" s="1" t="s">
        <v>67</v>
      </c>
      <c r="G205" s="1" t="s">
        <v>182</v>
      </c>
      <c r="H205" s="1">
        <v>11</v>
      </c>
      <c r="I205" s="1">
        <v>100527</v>
      </c>
      <c r="J205" s="1">
        <v>8042</v>
      </c>
      <c r="K205" s="1">
        <v>80</v>
      </c>
      <c r="L205" s="1" t="s">
        <v>34</v>
      </c>
      <c r="M205" s="1" t="s">
        <v>21</v>
      </c>
      <c r="N205" s="6" t="s">
        <v>35</v>
      </c>
    </row>
    <row r="206" spans="1:14" x14ac:dyDescent="0.3">
      <c r="A206" s="5" t="s">
        <v>548</v>
      </c>
      <c r="B206" s="1" t="s">
        <v>44</v>
      </c>
      <c r="C206" s="1" t="s">
        <v>31</v>
      </c>
      <c r="D206" s="1">
        <v>29</v>
      </c>
      <c r="E206" s="1" t="s">
        <v>32</v>
      </c>
      <c r="F206" s="1" t="s">
        <v>18</v>
      </c>
      <c r="G206" s="1" t="s">
        <v>549</v>
      </c>
      <c r="H206" s="1">
        <v>13</v>
      </c>
      <c r="I206" s="1">
        <v>75241</v>
      </c>
      <c r="J206" s="1">
        <v>12791</v>
      </c>
      <c r="K206" s="1">
        <v>75</v>
      </c>
      <c r="L206" s="1" t="s">
        <v>20</v>
      </c>
      <c r="M206" s="1" t="s">
        <v>21</v>
      </c>
      <c r="N206" s="6" t="s">
        <v>22</v>
      </c>
    </row>
    <row r="207" spans="1:14" x14ac:dyDescent="0.3">
      <c r="A207" s="5" t="s">
        <v>550</v>
      </c>
      <c r="B207" s="1" t="s">
        <v>551</v>
      </c>
      <c r="C207" s="1" t="s">
        <v>16</v>
      </c>
      <c r="D207" s="1">
        <v>26</v>
      </c>
      <c r="E207" s="1" t="s">
        <v>17</v>
      </c>
      <c r="F207" s="1" t="s">
        <v>60</v>
      </c>
      <c r="G207" s="1" t="s">
        <v>552</v>
      </c>
      <c r="H207" s="1">
        <v>4</v>
      </c>
      <c r="I207" s="1">
        <v>107694</v>
      </c>
      <c r="J207" s="1">
        <v>18308</v>
      </c>
      <c r="K207" s="1">
        <v>83</v>
      </c>
      <c r="L207" s="1" t="s">
        <v>34</v>
      </c>
      <c r="M207" s="1" t="s">
        <v>21</v>
      </c>
      <c r="N207" s="6" t="s">
        <v>44</v>
      </c>
    </row>
    <row r="208" spans="1:14" x14ac:dyDescent="0.3">
      <c r="A208" s="5" t="s">
        <v>553</v>
      </c>
      <c r="B208" s="1" t="s">
        <v>554</v>
      </c>
      <c r="C208" s="1" t="s">
        <v>16</v>
      </c>
      <c r="D208" s="1">
        <v>46</v>
      </c>
      <c r="E208" s="1" t="s">
        <v>38</v>
      </c>
      <c r="F208" s="1" t="s">
        <v>18</v>
      </c>
      <c r="G208" s="1" t="s">
        <v>555</v>
      </c>
      <c r="H208" s="1">
        <v>2</v>
      </c>
      <c r="I208" s="1">
        <v>103275</v>
      </c>
      <c r="J208" s="1">
        <v>20655</v>
      </c>
      <c r="K208" s="1">
        <v>92</v>
      </c>
      <c r="L208" s="1" t="s">
        <v>40</v>
      </c>
      <c r="M208" s="1" t="s">
        <v>21</v>
      </c>
      <c r="N208" s="6" t="s">
        <v>28</v>
      </c>
    </row>
    <row r="209" spans="1:14" x14ac:dyDescent="0.3">
      <c r="A209" s="5" t="s">
        <v>556</v>
      </c>
      <c r="B209" s="1" t="s">
        <v>167</v>
      </c>
      <c r="C209" s="1" t="s">
        <v>16</v>
      </c>
      <c r="D209" s="1">
        <v>47</v>
      </c>
      <c r="E209" s="1" t="s">
        <v>38</v>
      </c>
      <c r="F209" s="1" t="s">
        <v>75</v>
      </c>
      <c r="G209" s="1" t="s">
        <v>557</v>
      </c>
      <c r="H209" s="1">
        <v>4</v>
      </c>
      <c r="I209" s="1">
        <v>65762</v>
      </c>
      <c r="J209" s="1">
        <v>7891</v>
      </c>
      <c r="K209" s="1">
        <v>75</v>
      </c>
      <c r="L209" s="1" t="s">
        <v>40</v>
      </c>
      <c r="M209" s="1" t="s">
        <v>21</v>
      </c>
      <c r="N209" s="6" t="s">
        <v>28</v>
      </c>
    </row>
    <row r="210" spans="1:14" x14ac:dyDescent="0.3">
      <c r="A210" s="5" t="s">
        <v>558</v>
      </c>
      <c r="B210" s="1" t="s">
        <v>410</v>
      </c>
      <c r="C210" s="1" t="s">
        <v>16</v>
      </c>
      <c r="D210" s="1">
        <v>34</v>
      </c>
      <c r="E210" s="1" t="s">
        <v>32</v>
      </c>
      <c r="F210" s="1" t="s">
        <v>75</v>
      </c>
      <c r="G210" s="1" t="s">
        <v>559</v>
      </c>
      <c r="H210" s="1">
        <v>10</v>
      </c>
      <c r="I210" s="1">
        <v>44360</v>
      </c>
      <c r="J210" s="1">
        <v>6210</v>
      </c>
      <c r="K210" s="1">
        <v>87</v>
      </c>
      <c r="L210" s="1" t="s">
        <v>20</v>
      </c>
      <c r="M210" s="1" t="s">
        <v>21</v>
      </c>
      <c r="N210" s="6" t="s">
        <v>28</v>
      </c>
    </row>
    <row r="211" spans="1:14" x14ac:dyDescent="0.3">
      <c r="A211" s="5" t="s">
        <v>560</v>
      </c>
      <c r="B211" s="1" t="s">
        <v>133</v>
      </c>
      <c r="C211" s="1" t="s">
        <v>16</v>
      </c>
      <c r="D211" s="1">
        <v>47</v>
      </c>
      <c r="E211" s="1" t="s">
        <v>47</v>
      </c>
      <c r="F211" s="1" t="s">
        <v>18</v>
      </c>
      <c r="G211" s="1" t="s">
        <v>561</v>
      </c>
      <c r="H211" s="1">
        <v>7</v>
      </c>
      <c r="I211" s="1">
        <v>93842</v>
      </c>
      <c r="J211" s="1">
        <v>7507</v>
      </c>
      <c r="K211" s="1">
        <v>89</v>
      </c>
      <c r="L211" s="1" t="s">
        <v>34</v>
      </c>
      <c r="M211" s="1" t="s">
        <v>21</v>
      </c>
      <c r="N211" s="6" t="s">
        <v>44</v>
      </c>
    </row>
    <row r="212" spans="1:14" x14ac:dyDescent="0.3">
      <c r="A212" s="5" t="s">
        <v>562</v>
      </c>
      <c r="B212" s="1" t="s">
        <v>245</v>
      </c>
      <c r="C212" s="1" t="s">
        <v>31</v>
      </c>
      <c r="D212" s="1">
        <v>29</v>
      </c>
      <c r="E212" s="1" t="s">
        <v>47</v>
      </c>
      <c r="F212" s="1" t="s">
        <v>60</v>
      </c>
      <c r="G212" s="1" t="s">
        <v>563</v>
      </c>
      <c r="H212" s="1">
        <v>10</v>
      </c>
      <c r="I212" s="1">
        <v>79662</v>
      </c>
      <c r="J212" s="1">
        <v>11153</v>
      </c>
      <c r="K212" s="1">
        <v>77</v>
      </c>
      <c r="L212" s="1" t="s">
        <v>34</v>
      </c>
      <c r="M212" s="1" t="s">
        <v>21</v>
      </c>
      <c r="N212" s="6" t="s">
        <v>35</v>
      </c>
    </row>
    <row r="213" spans="1:14" x14ac:dyDescent="0.3">
      <c r="A213" s="5" t="s">
        <v>564</v>
      </c>
      <c r="B213" s="1" t="s">
        <v>565</v>
      </c>
      <c r="C213" s="1" t="s">
        <v>16</v>
      </c>
      <c r="D213" s="1">
        <v>48</v>
      </c>
      <c r="E213" s="1" t="s">
        <v>32</v>
      </c>
      <c r="F213" s="1" t="s">
        <v>85</v>
      </c>
      <c r="G213" s="1" t="s">
        <v>566</v>
      </c>
      <c r="H213" s="1">
        <v>9</v>
      </c>
      <c r="I213" s="1">
        <v>35954</v>
      </c>
      <c r="J213" s="1">
        <v>3595</v>
      </c>
      <c r="K213" s="1">
        <v>91</v>
      </c>
      <c r="L213" s="1" t="s">
        <v>34</v>
      </c>
      <c r="M213" s="1" t="s">
        <v>21</v>
      </c>
      <c r="N213" s="6" t="s">
        <v>44</v>
      </c>
    </row>
    <row r="214" spans="1:14" x14ac:dyDescent="0.3">
      <c r="A214" s="5" t="s">
        <v>567</v>
      </c>
      <c r="B214" s="1" t="s">
        <v>232</v>
      </c>
      <c r="C214" s="1" t="s">
        <v>16</v>
      </c>
      <c r="D214" s="1">
        <v>39</v>
      </c>
      <c r="E214" s="1" t="s">
        <v>32</v>
      </c>
      <c r="F214" s="1" t="s">
        <v>75</v>
      </c>
      <c r="G214" s="1" t="s">
        <v>568</v>
      </c>
      <c r="H214" s="1">
        <v>2</v>
      </c>
      <c r="I214" s="1">
        <v>81087</v>
      </c>
      <c r="J214" s="1">
        <v>13785</v>
      </c>
      <c r="K214" s="1">
        <v>91</v>
      </c>
      <c r="L214" s="1" t="s">
        <v>34</v>
      </c>
      <c r="M214" s="1" t="s">
        <v>21</v>
      </c>
      <c r="N214" s="6" t="s">
        <v>28</v>
      </c>
    </row>
    <row r="215" spans="1:14" x14ac:dyDescent="0.3">
      <c r="A215" s="5" t="s">
        <v>569</v>
      </c>
      <c r="B215" s="1" t="s">
        <v>164</v>
      </c>
      <c r="C215" s="1" t="s">
        <v>31</v>
      </c>
      <c r="D215" s="1">
        <v>36</v>
      </c>
      <c r="E215" s="1" t="s">
        <v>38</v>
      </c>
      <c r="F215" s="1" t="s">
        <v>26</v>
      </c>
      <c r="G215" s="1" t="s">
        <v>113</v>
      </c>
      <c r="H215" s="1">
        <v>9</v>
      </c>
      <c r="I215" s="1">
        <v>46286</v>
      </c>
      <c r="J215" s="1">
        <v>2777</v>
      </c>
      <c r="K215" s="1">
        <v>89</v>
      </c>
      <c r="L215" s="1" t="s">
        <v>34</v>
      </c>
      <c r="M215" s="1" t="s">
        <v>21</v>
      </c>
      <c r="N215" s="6" t="s">
        <v>50</v>
      </c>
    </row>
    <row r="216" spans="1:14" x14ac:dyDescent="0.3">
      <c r="A216" s="5" t="s">
        <v>570</v>
      </c>
      <c r="B216" s="1" t="s">
        <v>130</v>
      </c>
      <c r="C216" s="1" t="s">
        <v>31</v>
      </c>
      <c r="D216" s="1">
        <v>26</v>
      </c>
      <c r="E216" s="1" t="s">
        <v>47</v>
      </c>
      <c r="F216" s="1" t="s">
        <v>18</v>
      </c>
      <c r="G216" s="1" t="s">
        <v>107</v>
      </c>
      <c r="H216" s="1">
        <v>11</v>
      </c>
      <c r="I216" s="1">
        <v>84385</v>
      </c>
      <c r="J216" s="1">
        <v>5907</v>
      </c>
      <c r="K216" s="1">
        <v>82</v>
      </c>
      <c r="L216" s="1" t="s">
        <v>20</v>
      </c>
      <c r="M216" s="1" t="s">
        <v>21</v>
      </c>
      <c r="N216" s="6" t="s">
        <v>28</v>
      </c>
    </row>
    <row r="217" spans="1:14" x14ac:dyDescent="0.3">
      <c r="A217" s="5" t="s">
        <v>571</v>
      </c>
      <c r="B217" s="1" t="s">
        <v>529</v>
      </c>
      <c r="C217" s="1" t="s">
        <v>31</v>
      </c>
      <c r="D217" s="1">
        <v>35</v>
      </c>
      <c r="E217" s="1" t="s">
        <v>32</v>
      </c>
      <c r="F217" s="1" t="s">
        <v>60</v>
      </c>
      <c r="G217" s="1" t="s">
        <v>572</v>
      </c>
      <c r="H217" s="1">
        <v>10</v>
      </c>
      <c r="I217" s="1">
        <v>43111</v>
      </c>
      <c r="J217" s="1">
        <v>3018</v>
      </c>
      <c r="K217" s="1">
        <v>86</v>
      </c>
      <c r="L217" s="1" t="s">
        <v>40</v>
      </c>
      <c r="M217" s="1" t="s">
        <v>21</v>
      </c>
      <c r="N217" s="6" t="s">
        <v>22</v>
      </c>
    </row>
    <row r="218" spans="1:14" x14ac:dyDescent="0.3">
      <c r="A218" s="5" t="s">
        <v>573</v>
      </c>
      <c r="B218" s="1" t="s">
        <v>523</v>
      </c>
      <c r="C218" s="1" t="s">
        <v>31</v>
      </c>
      <c r="D218" s="1">
        <v>42</v>
      </c>
      <c r="E218" s="1" t="s">
        <v>38</v>
      </c>
      <c r="F218" s="1" t="s">
        <v>67</v>
      </c>
      <c r="G218" s="1" t="s">
        <v>574</v>
      </c>
      <c r="H218" s="1">
        <v>12</v>
      </c>
      <c r="I218" s="1">
        <v>109226</v>
      </c>
      <c r="J218" s="1">
        <v>10923</v>
      </c>
      <c r="K218" s="1">
        <v>87</v>
      </c>
      <c r="L218" s="1" t="s">
        <v>20</v>
      </c>
      <c r="M218" s="1" t="s">
        <v>21</v>
      </c>
      <c r="N218" s="6" t="s">
        <v>44</v>
      </c>
    </row>
    <row r="219" spans="1:14" x14ac:dyDescent="0.3">
      <c r="A219" s="5" t="s">
        <v>575</v>
      </c>
      <c r="B219" s="1" t="s">
        <v>335</v>
      </c>
      <c r="C219" s="1" t="s">
        <v>16</v>
      </c>
      <c r="D219" s="1">
        <v>29</v>
      </c>
      <c r="E219" s="1" t="s">
        <v>25</v>
      </c>
      <c r="F219" s="1" t="s">
        <v>18</v>
      </c>
      <c r="G219" s="1" t="s">
        <v>576</v>
      </c>
      <c r="H219" s="1">
        <v>5</v>
      </c>
      <c r="I219" s="1">
        <v>64304</v>
      </c>
      <c r="J219" s="1">
        <v>9646</v>
      </c>
      <c r="K219" s="1">
        <v>98</v>
      </c>
      <c r="L219" s="1" t="s">
        <v>69</v>
      </c>
      <c r="M219" s="1" t="s">
        <v>21</v>
      </c>
      <c r="N219" s="6" t="s">
        <v>50</v>
      </c>
    </row>
    <row r="220" spans="1:14" x14ac:dyDescent="0.3">
      <c r="A220" s="5" t="s">
        <v>577</v>
      </c>
      <c r="B220" s="1" t="s">
        <v>145</v>
      </c>
      <c r="C220" s="1" t="s">
        <v>31</v>
      </c>
      <c r="D220" s="1">
        <v>47</v>
      </c>
      <c r="E220" s="1" t="s">
        <v>47</v>
      </c>
      <c r="F220" s="1" t="s">
        <v>48</v>
      </c>
      <c r="G220" s="1" t="s">
        <v>578</v>
      </c>
      <c r="H220" s="1">
        <v>5</v>
      </c>
      <c r="I220" s="1">
        <v>94570</v>
      </c>
      <c r="J220" s="1">
        <v>17023</v>
      </c>
      <c r="K220" s="1">
        <v>84</v>
      </c>
      <c r="L220" s="1" t="s">
        <v>69</v>
      </c>
      <c r="M220" s="1" t="s">
        <v>21</v>
      </c>
      <c r="N220" s="6" t="s">
        <v>28</v>
      </c>
    </row>
    <row r="221" spans="1:14" x14ac:dyDescent="0.3">
      <c r="A221" s="5" t="s">
        <v>579</v>
      </c>
      <c r="B221" s="1" t="s">
        <v>319</v>
      </c>
      <c r="C221" s="1" t="s">
        <v>31</v>
      </c>
      <c r="D221" s="1">
        <v>50</v>
      </c>
      <c r="E221" s="1" t="s">
        <v>17</v>
      </c>
      <c r="F221" s="1" t="s">
        <v>67</v>
      </c>
      <c r="G221" s="1" t="s">
        <v>580</v>
      </c>
      <c r="H221" s="1">
        <v>15</v>
      </c>
      <c r="I221" s="1">
        <v>94959</v>
      </c>
      <c r="J221" s="1">
        <v>17093</v>
      </c>
      <c r="K221" s="1">
        <v>86</v>
      </c>
      <c r="L221" s="1" t="s">
        <v>40</v>
      </c>
      <c r="M221" s="1" t="s">
        <v>21</v>
      </c>
      <c r="N221" s="6" t="s">
        <v>35</v>
      </c>
    </row>
    <row r="222" spans="1:14" x14ac:dyDescent="0.3">
      <c r="A222" s="5" t="s">
        <v>581</v>
      </c>
      <c r="B222" s="1" t="s">
        <v>485</v>
      </c>
      <c r="C222" s="1" t="s">
        <v>16</v>
      </c>
      <c r="D222" s="1">
        <v>26</v>
      </c>
      <c r="E222" s="1" t="s">
        <v>25</v>
      </c>
      <c r="F222" s="1" t="s">
        <v>48</v>
      </c>
      <c r="G222" s="1" t="s">
        <v>582</v>
      </c>
      <c r="H222" s="1">
        <v>13</v>
      </c>
      <c r="I222" s="1">
        <v>82527</v>
      </c>
      <c r="J222" s="1">
        <v>6602</v>
      </c>
      <c r="K222" s="1">
        <v>96</v>
      </c>
      <c r="L222" s="1" t="s">
        <v>20</v>
      </c>
      <c r="M222" s="1" t="s">
        <v>117</v>
      </c>
      <c r="N222" s="6" t="s">
        <v>35</v>
      </c>
    </row>
    <row r="223" spans="1:14" x14ac:dyDescent="0.3">
      <c r="A223" s="5" t="s">
        <v>583</v>
      </c>
      <c r="B223" s="1" t="s">
        <v>133</v>
      </c>
      <c r="C223" s="1" t="s">
        <v>16</v>
      </c>
      <c r="D223" s="1">
        <v>27</v>
      </c>
      <c r="E223" s="1" t="s">
        <v>32</v>
      </c>
      <c r="F223" s="1" t="s">
        <v>18</v>
      </c>
      <c r="G223" s="1" t="s">
        <v>584</v>
      </c>
      <c r="H223" s="1">
        <v>14</v>
      </c>
      <c r="I223" s="1">
        <v>76325</v>
      </c>
      <c r="J223" s="1">
        <v>11449</v>
      </c>
      <c r="K223" s="1">
        <v>91</v>
      </c>
      <c r="L223" s="1" t="s">
        <v>34</v>
      </c>
      <c r="M223" s="1" t="s">
        <v>21</v>
      </c>
      <c r="N223" s="6" t="s">
        <v>44</v>
      </c>
    </row>
    <row r="224" spans="1:14" x14ac:dyDescent="0.3">
      <c r="A224" s="5" t="s">
        <v>585</v>
      </c>
      <c r="B224" s="1" t="s">
        <v>389</v>
      </c>
      <c r="C224" s="1" t="s">
        <v>31</v>
      </c>
      <c r="D224" s="1">
        <v>41</v>
      </c>
      <c r="E224" s="1" t="s">
        <v>59</v>
      </c>
      <c r="F224" s="1" t="s">
        <v>48</v>
      </c>
      <c r="G224" s="1" t="s">
        <v>586</v>
      </c>
      <c r="H224" s="1">
        <v>15</v>
      </c>
      <c r="I224" s="1">
        <v>37077</v>
      </c>
      <c r="J224" s="1">
        <v>3708</v>
      </c>
      <c r="K224" s="1">
        <v>89</v>
      </c>
      <c r="L224" s="1" t="s">
        <v>20</v>
      </c>
      <c r="M224" s="1" t="s">
        <v>21</v>
      </c>
      <c r="N224" s="6" t="s">
        <v>50</v>
      </c>
    </row>
    <row r="225" spans="1:14" x14ac:dyDescent="0.3">
      <c r="A225" s="5" t="s">
        <v>587</v>
      </c>
      <c r="B225" s="1" t="s">
        <v>588</v>
      </c>
      <c r="C225" s="1" t="s">
        <v>31</v>
      </c>
      <c r="D225" s="1">
        <v>40</v>
      </c>
      <c r="E225" s="1" t="s">
        <v>38</v>
      </c>
      <c r="F225" s="1" t="s">
        <v>75</v>
      </c>
      <c r="G225" s="1" t="s">
        <v>589</v>
      </c>
      <c r="H225" s="1">
        <v>5</v>
      </c>
      <c r="I225" s="1">
        <v>27249</v>
      </c>
      <c r="J225" s="1">
        <v>3270</v>
      </c>
      <c r="K225" s="1">
        <v>100</v>
      </c>
      <c r="L225" s="1" t="s">
        <v>69</v>
      </c>
      <c r="M225" s="1" t="s">
        <v>21</v>
      </c>
      <c r="N225" s="6" t="s">
        <v>44</v>
      </c>
    </row>
    <row r="226" spans="1:14" x14ac:dyDescent="0.3">
      <c r="A226" s="5" t="s">
        <v>590</v>
      </c>
      <c r="B226" s="1" t="s">
        <v>208</v>
      </c>
      <c r="C226" s="1" t="s">
        <v>16</v>
      </c>
      <c r="D226" s="1">
        <v>33</v>
      </c>
      <c r="E226" s="1" t="s">
        <v>47</v>
      </c>
      <c r="F226" s="1" t="s">
        <v>48</v>
      </c>
      <c r="G226" s="1" t="s">
        <v>591</v>
      </c>
      <c r="H226" s="1">
        <v>4</v>
      </c>
      <c r="I226" s="1">
        <v>66480</v>
      </c>
      <c r="J226" s="1">
        <v>11302</v>
      </c>
      <c r="K226" s="1">
        <v>87</v>
      </c>
      <c r="L226" s="1" t="s">
        <v>69</v>
      </c>
      <c r="M226" s="1" t="s">
        <v>21</v>
      </c>
      <c r="N226" s="6" t="s">
        <v>22</v>
      </c>
    </row>
    <row r="227" spans="1:14" x14ac:dyDescent="0.3">
      <c r="A227" s="5" t="s">
        <v>592</v>
      </c>
      <c r="B227" s="1" t="s">
        <v>142</v>
      </c>
      <c r="C227" s="1" t="s">
        <v>31</v>
      </c>
      <c r="D227" s="1">
        <v>29</v>
      </c>
      <c r="E227" s="1" t="s">
        <v>38</v>
      </c>
      <c r="F227" s="1" t="s">
        <v>85</v>
      </c>
      <c r="G227" s="1" t="s">
        <v>593</v>
      </c>
      <c r="H227" s="1">
        <v>5</v>
      </c>
      <c r="I227" s="1">
        <v>26256</v>
      </c>
      <c r="J227" s="1">
        <v>1313</v>
      </c>
      <c r="K227" s="1">
        <v>80</v>
      </c>
      <c r="L227" s="1" t="s">
        <v>20</v>
      </c>
      <c r="M227" s="1" t="s">
        <v>21</v>
      </c>
      <c r="N227" s="6" t="s">
        <v>28</v>
      </c>
    </row>
    <row r="228" spans="1:14" x14ac:dyDescent="0.3">
      <c r="A228" s="5" t="s">
        <v>594</v>
      </c>
      <c r="B228" s="1" t="s">
        <v>327</v>
      </c>
      <c r="C228" s="1" t="s">
        <v>16</v>
      </c>
      <c r="D228" s="1">
        <v>28</v>
      </c>
      <c r="E228" s="1" t="s">
        <v>38</v>
      </c>
      <c r="F228" s="1" t="s">
        <v>67</v>
      </c>
      <c r="G228" s="1" t="s">
        <v>595</v>
      </c>
      <c r="H228" s="1">
        <v>3</v>
      </c>
      <c r="I228" s="1">
        <v>77555</v>
      </c>
      <c r="J228" s="1">
        <v>11633</v>
      </c>
      <c r="K228" s="1">
        <v>86</v>
      </c>
      <c r="L228" s="1" t="s">
        <v>34</v>
      </c>
      <c r="M228" s="1" t="s">
        <v>21</v>
      </c>
      <c r="N228" s="6" t="s">
        <v>50</v>
      </c>
    </row>
    <row r="229" spans="1:14" x14ac:dyDescent="0.3">
      <c r="A229" s="5" t="s">
        <v>596</v>
      </c>
      <c r="B229" s="1" t="s">
        <v>597</v>
      </c>
      <c r="C229" s="1" t="s">
        <v>31</v>
      </c>
      <c r="D229" s="1">
        <v>24</v>
      </c>
      <c r="E229" s="1" t="s">
        <v>38</v>
      </c>
      <c r="F229" s="1" t="s">
        <v>75</v>
      </c>
      <c r="G229" s="1" t="s">
        <v>598</v>
      </c>
      <c r="H229" s="1">
        <v>13</v>
      </c>
      <c r="I229" s="1">
        <v>78780</v>
      </c>
      <c r="J229" s="1">
        <v>13393</v>
      </c>
      <c r="K229" s="1">
        <v>86</v>
      </c>
      <c r="L229" s="1" t="s">
        <v>40</v>
      </c>
      <c r="M229" s="1" t="s">
        <v>21</v>
      </c>
      <c r="N229" s="6" t="s">
        <v>44</v>
      </c>
    </row>
    <row r="230" spans="1:14" x14ac:dyDescent="0.3">
      <c r="A230" s="5" t="s">
        <v>599</v>
      </c>
      <c r="B230" s="1" t="s">
        <v>600</v>
      </c>
      <c r="C230" s="1" t="s">
        <v>16</v>
      </c>
      <c r="D230" s="1">
        <v>43</v>
      </c>
      <c r="E230" s="1" t="s">
        <v>32</v>
      </c>
      <c r="F230" s="1" t="s">
        <v>60</v>
      </c>
      <c r="G230" s="1" t="s">
        <v>601</v>
      </c>
      <c r="H230" s="1">
        <v>2</v>
      </c>
      <c r="I230" s="1">
        <v>87286</v>
      </c>
      <c r="J230" s="1">
        <v>6110</v>
      </c>
      <c r="K230" s="1">
        <v>88</v>
      </c>
      <c r="L230" s="1" t="s">
        <v>40</v>
      </c>
      <c r="M230" s="1" t="s">
        <v>21</v>
      </c>
      <c r="N230" s="6" t="s">
        <v>50</v>
      </c>
    </row>
    <row r="231" spans="1:14" x14ac:dyDescent="0.3">
      <c r="A231" s="5" t="s">
        <v>602</v>
      </c>
      <c r="B231" s="1" t="s">
        <v>37</v>
      </c>
      <c r="C231" s="1" t="s">
        <v>31</v>
      </c>
      <c r="D231" s="1">
        <v>36</v>
      </c>
      <c r="E231" s="1" t="s">
        <v>59</v>
      </c>
      <c r="F231" s="1" t="s">
        <v>85</v>
      </c>
      <c r="G231" s="1" t="s">
        <v>603</v>
      </c>
      <c r="H231" s="1">
        <v>2</v>
      </c>
      <c r="I231" s="1">
        <v>31246</v>
      </c>
      <c r="J231" s="1">
        <v>3125</v>
      </c>
      <c r="K231" s="1">
        <v>82</v>
      </c>
      <c r="L231" s="1" t="s">
        <v>69</v>
      </c>
      <c r="M231" s="1" t="s">
        <v>21</v>
      </c>
      <c r="N231" s="6" t="s">
        <v>44</v>
      </c>
    </row>
    <row r="232" spans="1:14" x14ac:dyDescent="0.3">
      <c r="A232" s="5" t="s">
        <v>604</v>
      </c>
      <c r="B232" s="1" t="s">
        <v>407</v>
      </c>
      <c r="C232" s="1" t="s">
        <v>16</v>
      </c>
      <c r="D232" s="1">
        <v>24</v>
      </c>
      <c r="E232" s="1" t="s">
        <v>25</v>
      </c>
      <c r="F232" s="1" t="s">
        <v>18</v>
      </c>
      <c r="G232" s="1" t="s">
        <v>605</v>
      </c>
      <c r="H232" s="1">
        <v>5</v>
      </c>
      <c r="I232" s="1">
        <v>67615</v>
      </c>
      <c r="J232" s="1">
        <v>13523</v>
      </c>
      <c r="K232" s="1">
        <v>78</v>
      </c>
      <c r="L232" s="1" t="s">
        <v>40</v>
      </c>
      <c r="M232" s="1" t="s">
        <v>21</v>
      </c>
      <c r="N232" s="6" t="s">
        <v>28</v>
      </c>
    </row>
    <row r="233" spans="1:14" x14ac:dyDescent="0.3">
      <c r="A233" s="5" t="s">
        <v>606</v>
      </c>
      <c r="B233" s="1" t="s">
        <v>30</v>
      </c>
      <c r="C233" s="1" t="s">
        <v>16</v>
      </c>
      <c r="D233" s="1">
        <v>34</v>
      </c>
      <c r="E233" s="1" t="s">
        <v>25</v>
      </c>
      <c r="F233" s="1" t="s">
        <v>67</v>
      </c>
      <c r="G233" s="1" t="s">
        <v>607</v>
      </c>
      <c r="H233" s="1">
        <v>6</v>
      </c>
      <c r="I233" s="1">
        <v>45802</v>
      </c>
      <c r="J233" s="1">
        <v>6412</v>
      </c>
      <c r="K233" s="1">
        <v>97</v>
      </c>
      <c r="L233" s="1" t="s">
        <v>34</v>
      </c>
      <c r="M233" s="1" t="s">
        <v>21</v>
      </c>
      <c r="N233" s="6" t="s">
        <v>44</v>
      </c>
    </row>
    <row r="234" spans="1:14" x14ac:dyDescent="0.3">
      <c r="A234" s="5" t="s">
        <v>608</v>
      </c>
      <c r="B234" s="1" t="s">
        <v>480</v>
      </c>
      <c r="C234" s="1" t="s">
        <v>31</v>
      </c>
      <c r="D234" s="1">
        <v>41</v>
      </c>
      <c r="E234" s="1" t="s">
        <v>59</v>
      </c>
      <c r="F234" s="1" t="s">
        <v>75</v>
      </c>
      <c r="G234" s="1" t="s">
        <v>609</v>
      </c>
      <c r="H234" s="1">
        <v>14</v>
      </c>
      <c r="I234" s="1">
        <v>74669</v>
      </c>
      <c r="J234" s="1">
        <v>5974</v>
      </c>
      <c r="K234" s="1">
        <v>80</v>
      </c>
      <c r="L234" s="1" t="s">
        <v>40</v>
      </c>
      <c r="M234" s="1" t="s">
        <v>21</v>
      </c>
      <c r="N234" s="6" t="s">
        <v>44</v>
      </c>
    </row>
    <row r="235" spans="1:14" x14ac:dyDescent="0.3">
      <c r="A235" s="5" t="s">
        <v>610</v>
      </c>
      <c r="B235" s="1" t="s">
        <v>407</v>
      </c>
      <c r="C235" s="1" t="s">
        <v>16</v>
      </c>
      <c r="D235" s="1">
        <v>34</v>
      </c>
      <c r="E235" s="1" t="s">
        <v>38</v>
      </c>
      <c r="F235" s="1" t="s">
        <v>75</v>
      </c>
      <c r="G235" s="1" t="s">
        <v>611</v>
      </c>
      <c r="H235" s="1">
        <v>5</v>
      </c>
      <c r="I235" s="1">
        <v>94139</v>
      </c>
      <c r="J235" s="1">
        <v>8473</v>
      </c>
      <c r="K235" s="1">
        <v>85</v>
      </c>
      <c r="L235" s="1" t="s">
        <v>40</v>
      </c>
      <c r="M235" s="1" t="s">
        <v>21</v>
      </c>
      <c r="N235" s="6" t="s">
        <v>44</v>
      </c>
    </row>
    <row r="236" spans="1:14" x14ac:dyDescent="0.3">
      <c r="A236" s="5" t="s">
        <v>612</v>
      </c>
      <c r="B236" s="1" t="s">
        <v>24</v>
      </c>
      <c r="C236" s="1" t="s">
        <v>31</v>
      </c>
      <c r="D236" s="1">
        <v>37</v>
      </c>
      <c r="E236" s="1" t="s">
        <v>47</v>
      </c>
      <c r="F236" s="1" t="s">
        <v>85</v>
      </c>
      <c r="G236" s="1" t="s">
        <v>140</v>
      </c>
      <c r="H236" s="1">
        <v>7</v>
      </c>
      <c r="I236" s="1">
        <v>105560</v>
      </c>
      <c r="J236" s="1">
        <v>14778</v>
      </c>
      <c r="K236" s="1">
        <v>85</v>
      </c>
      <c r="L236" s="1" t="s">
        <v>34</v>
      </c>
      <c r="M236" s="1" t="s">
        <v>21</v>
      </c>
      <c r="N236" s="6" t="s">
        <v>28</v>
      </c>
    </row>
    <row r="237" spans="1:14" x14ac:dyDescent="0.3">
      <c r="A237" s="5" t="s">
        <v>613</v>
      </c>
      <c r="B237" s="1" t="s">
        <v>52</v>
      </c>
      <c r="C237" s="1" t="s">
        <v>31</v>
      </c>
      <c r="D237" s="1">
        <v>24</v>
      </c>
      <c r="E237" s="1" t="s">
        <v>47</v>
      </c>
      <c r="F237" s="1" t="s">
        <v>75</v>
      </c>
      <c r="G237" s="1" t="s">
        <v>191</v>
      </c>
      <c r="H237" s="1">
        <v>14</v>
      </c>
      <c r="I237" s="1">
        <v>99192</v>
      </c>
      <c r="J237" s="1">
        <v>15871</v>
      </c>
      <c r="K237" s="1">
        <v>87</v>
      </c>
      <c r="L237" s="1" t="s">
        <v>40</v>
      </c>
      <c r="M237" s="1" t="s">
        <v>21</v>
      </c>
      <c r="N237" s="6" t="s">
        <v>28</v>
      </c>
    </row>
    <row r="238" spans="1:14" x14ac:dyDescent="0.3">
      <c r="A238" s="5" t="s">
        <v>614</v>
      </c>
      <c r="B238" s="1" t="s">
        <v>37</v>
      </c>
      <c r="C238" s="1" t="s">
        <v>16</v>
      </c>
      <c r="D238" s="1">
        <v>30</v>
      </c>
      <c r="E238" s="1" t="s">
        <v>59</v>
      </c>
      <c r="F238" s="1" t="s">
        <v>75</v>
      </c>
      <c r="G238" s="1" t="s">
        <v>615</v>
      </c>
      <c r="H238" s="1">
        <v>1</v>
      </c>
      <c r="I238" s="1">
        <v>64452</v>
      </c>
      <c r="J238" s="1">
        <v>9668</v>
      </c>
      <c r="K238" s="1">
        <v>82</v>
      </c>
      <c r="L238" s="1" t="s">
        <v>20</v>
      </c>
      <c r="M238" s="1" t="s">
        <v>21</v>
      </c>
      <c r="N238" s="6" t="s">
        <v>50</v>
      </c>
    </row>
    <row r="239" spans="1:14" x14ac:dyDescent="0.3">
      <c r="A239" s="5" t="s">
        <v>616</v>
      </c>
      <c r="B239" s="1" t="s">
        <v>119</v>
      </c>
      <c r="C239" s="1" t="s">
        <v>31</v>
      </c>
      <c r="D239" s="1">
        <v>39</v>
      </c>
      <c r="E239" s="1" t="s">
        <v>38</v>
      </c>
      <c r="F239" s="1" t="s">
        <v>26</v>
      </c>
      <c r="G239" s="1" t="s">
        <v>617</v>
      </c>
      <c r="H239" s="1">
        <v>13</v>
      </c>
      <c r="I239" s="1">
        <v>83833</v>
      </c>
      <c r="J239" s="1">
        <v>11737</v>
      </c>
      <c r="K239" s="1">
        <v>91</v>
      </c>
      <c r="L239" s="1" t="s">
        <v>40</v>
      </c>
      <c r="M239" s="1" t="s">
        <v>21</v>
      </c>
      <c r="N239" s="6" t="s">
        <v>22</v>
      </c>
    </row>
    <row r="240" spans="1:14" x14ac:dyDescent="0.3">
      <c r="A240" s="5" t="s">
        <v>618</v>
      </c>
      <c r="B240" s="1" t="s">
        <v>423</v>
      </c>
      <c r="C240" s="1" t="s">
        <v>16</v>
      </c>
      <c r="D240" s="1">
        <v>28</v>
      </c>
      <c r="E240" s="1" t="s">
        <v>47</v>
      </c>
      <c r="F240" s="1" t="s">
        <v>26</v>
      </c>
      <c r="G240" s="1" t="s">
        <v>619</v>
      </c>
      <c r="H240" s="1">
        <v>5</v>
      </c>
      <c r="I240" s="1">
        <v>32251</v>
      </c>
      <c r="J240" s="1">
        <v>1613</v>
      </c>
      <c r="K240" s="1">
        <v>94</v>
      </c>
      <c r="L240" s="1" t="s">
        <v>69</v>
      </c>
      <c r="M240" s="1" t="s">
        <v>21</v>
      </c>
      <c r="N240" s="6" t="s">
        <v>22</v>
      </c>
    </row>
    <row r="241" spans="1:14" x14ac:dyDescent="0.3">
      <c r="A241" s="5" t="s">
        <v>620</v>
      </c>
      <c r="B241" s="1" t="s">
        <v>161</v>
      </c>
      <c r="C241" s="1" t="s">
        <v>31</v>
      </c>
      <c r="D241" s="1">
        <v>46</v>
      </c>
      <c r="E241" s="1" t="s">
        <v>32</v>
      </c>
      <c r="F241" s="1" t="s">
        <v>18</v>
      </c>
      <c r="G241" s="1" t="s">
        <v>621</v>
      </c>
      <c r="H241" s="1">
        <v>14</v>
      </c>
      <c r="I241" s="1">
        <v>100073</v>
      </c>
      <c r="J241" s="1">
        <v>7005</v>
      </c>
      <c r="K241" s="1">
        <v>96</v>
      </c>
      <c r="L241" s="1" t="s">
        <v>20</v>
      </c>
      <c r="M241" s="1" t="s">
        <v>117</v>
      </c>
      <c r="N241" s="6" t="s">
        <v>50</v>
      </c>
    </row>
    <row r="242" spans="1:14" x14ac:dyDescent="0.3">
      <c r="A242" s="5" t="s">
        <v>622</v>
      </c>
      <c r="B242" s="1" t="s">
        <v>133</v>
      </c>
      <c r="C242" s="1" t="s">
        <v>16</v>
      </c>
      <c r="D242" s="1">
        <v>26</v>
      </c>
      <c r="E242" s="1" t="s">
        <v>47</v>
      </c>
      <c r="F242" s="1" t="s">
        <v>26</v>
      </c>
      <c r="G242" s="1" t="s">
        <v>623</v>
      </c>
      <c r="H242" s="1">
        <v>4</v>
      </c>
      <c r="I242" s="1">
        <v>36869</v>
      </c>
      <c r="J242" s="1">
        <v>7005</v>
      </c>
      <c r="K242" s="1">
        <v>86</v>
      </c>
      <c r="L242" s="1" t="s">
        <v>34</v>
      </c>
      <c r="M242" s="1" t="s">
        <v>21</v>
      </c>
      <c r="N242" s="6" t="s">
        <v>22</v>
      </c>
    </row>
    <row r="243" spans="1:14" x14ac:dyDescent="0.3">
      <c r="A243" s="5" t="s">
        <v>624</v>
      </c>
      <c r="B243" s="1" t="s">
        <v>167</v>
      </c>
      <c r="C243" s="1" t="s">
        <v>16</v>
      </c>
      <c r="D243" s="1">
        <v>48</v>
      </c>
      <c r="E243" s="1" t="s">
        <v>17</v>
      </c>
      <c r="F243" s="1" t="s">
        <v>26</v>
      </c>
      <c r="G243" s="1" t="s">
        <v>625</v>
      </c>
      <c r="H243" s="1">
        <v>7</v>
      </c>
      <c r="I243" s="1">
        <v>94105</v>
      </c>
      <c r="J243" s="1">
        <v>17880</v>
      </c>
      <c r="K243" s="1">
        <v>100</v>
      </c>
      <c r="L243" s="1" t="s">
        <v>40</v>
      </c>
      <c r="M243" s="1" t="s">
        <v>21</v>
      </c>
      <c r="N243" s="6" t="s">
        <v>44</v>
      </c>
    </row>
    <row r="244" spans="1:14" x14ac:dyDescent="0.3">
      <c r="A244" s="5" t="s">
        <v>626</v>
      </c>
      <c r="B244" s="1" t="s">
        <v>427</v>
      </c>
      <c r="C244" s="1" t="s">
        <v>16</v>
      </c>
      <c r="D244" s="1">
        <v>37</v>
      </c>
      <c r="E244" s="1" t="s">
        <v>38</v>
      </c>
      <c r="F244" s="1" t="s">
        <v>48</v>
      </c>
      <c r="G244" s="1" t="s">
        <v>627</v>
      </c>
      <c r="H244" s="1">
        <v>2</v>
      </c>
      <c r="I244" s="1">
        <v>37594</v>
      </c>
      <c r="J244" s="1">
        <v>4887</v>
      </c>
      <c r="K244" s="1">
        <v>96</v>
      </c>
      <c r="L244" s="1" t="s">
        <v>40</v>
      </c>
      <c r="M244" s="1" t="s">
        <v>21</v>
      </c>
      <c r="N244" s="6" t="s">
        <v>35</v>
      </c>
    </row>
    <row r="245" spans="1:14" x14ac:dyDescent="0.3">
      <c r="A245" s="5" t="s">
        <v>628</v>
      </c>
      <c r="B245" s="1" t="s">
        <v>469</v>
      </c>
      <c r="C245" s="1" t="s">
        <v>31</v>
      </c>
      <c r="D245" s="1">
        <v>48</v>
      </c>
      <c r="E245" s="1" t="s">
        <v>38</v>
      </c>
      <c r="F245" s="1" t="s">
        <v>60</v>
      </c>
      <c r="G245" s="1" t="s">
        <v>629</v>
      </c>
      <c r="H245" s="1">
        <v>15</v>
      </c>
      <c r="I245" s="1">
        <v>93924</v>
      </c>
      <c r="J245" s="1">
        <v>11271</v>
      </c>
      <c r="K245" s="1">
        <v>88</v>
      </c>
      <c r="L245" s="1" t="s">
        <v>20</v>
      </c>
      <c r="M245" s="1" t="s">
        <v>21</v>
      </c>
      <c r="N245" s="6" t="s">
        <v>44</v>
      </c>
    </row>
    <row r="246" spans="1:14" x14ac:dyDescent="0.3">
      <c r="A246" s="5" t="s">
        <v>630</v>
      </c>
      <c r="B246" s="1" t="s">
        <v>631</v>
      </c>
      <c r="C246" s="1" t="s">
        <v>16</v>
      </c>
      <c r="D246" s="1">
        <v>35</v>
      </c>
      <c r="E246" s="1" t="s">
        <v>38</v>
      </c>
      <c r="F246" s="1" t="s">
        <v>85</v>
      </c>
      <c r="G246" s="1" t="s">
        <v>632</v>
      </c>
      <c r="H246" s="1">
        <v>3</v>
      </c>
      <c r="I246" s="1">
        <v>80894</v>
      </c>
      <c r="J246" s="1">
        <v>5663</v>
      </c>
      <c r="K246" s="1">
        <v>77</v>
      </c>
      <c r="L246" s="1" t="s">
        <v>69</v>
      </c>
      <c r="M246" s="1" t="s">
        <v>21</v>
      </c>
      <c r="N246" s="6" t="s">
        <v>28</v>
      </c>
    </row>
    <row r="247" spans="1:14" x14ac:dyDescent="0.3">
      <c r="A247" s="5" t="s">
        <v>633</v>
      </c>
      <c r="B247" s="1" t="s">
        <v>308</v>
      </c>
      <c r="C247" s="1" t="s">
        <v>31</v>
      </c>
      <c r="D247" s="1">
        <v>25</v>
      </c>
      <c r="E247" s="1" t="s">
        <v>32</v>
      </c>
      <c r="F247" s="1" t="s">
        <v>60</v>
      </c>
      <c r="G247" s="1" t="s">
        <v>634</v>
      </c>
      <c r="H247" s="1">
        <v>13</v>
      </c>
      <c r="I247" s="1">
        <v>67533</v>
      </c>
      <c r="J247" s="1">
        <v>8104</v>
      </c>
      <c r="K247" s="1">
        <v>88</v>
      </c>
      <c r="L247" s="1" t="s">
        <v>34</v>
      </c>
      <c r="M247" s="1" t="s">
        <v>21</v>
      </c>
      <c r="N247" s="6" t="s">
        <v>22</v>
      </c>
    </row>
    <row r="248" spans="1:14" x14ac:dyDescent="0.3">
      <c r="A248" s="5" t="s">
        <v>635</v>
      </c>
      <c r="B248" s="1" t="s">
        <v>588</v>
      </c>
      <c r="C248" s="1" t="s">
        <v>31</v>
      </c>
      <c r="D248" s="1">
        <v>47</v>
      </c>
      <c r="E248" s="1" t="s">
        <v>17</v>
      </c>
      <c r="F248" s="1" t="s">
        <v>18</v>
      </c>
      <c r="G248" s="1" t="s">
        <v>499</v>
      </c>
      <c r="H248" s="1">
        <v>10</v>
      </c>
      <c r="I248" s="1">
        <v>75879</v>
      </c>
      <c r="J248" s="1">
        <v>6829</v>
      </c>
      <c r="K248" s="1">
        <v>81</v>
      </c>
      <c r="L248" s="1" t="s">
        <v>34</v>
      </c>
      <c r="M248" s="1" t="s">
        <v>21</v>
      </c>
      <c r="N248" s="6" t="s">
        <v>44</v>
      </c>
    </row>
    <row r="249" spans="1:14" x14ac:dyDescent="0.3">
      <c r="A249" s="5" t="s">
        <v>636</v>
      </c>
      <c r="B249" s="1" t="s">
        <v>167</v>
      </c>
      <c r="C249" s="1" t="s">
        <v>16</v>
      </c>
      <c r="D249" s="1">
        <v>26</v>
      </c>
      <c r="E249" s="1" t="s">
        <v>17</v>
      </c>
      <c r="F249" s="1" t="s">
        <v>75</v>
      </c>
      <c r="G249" s="1" t="s">
        <v>637</v>
      </c>
      <c r="H249" s="1">
        <v>11</v>
      </c>
      <c r="I249" s="1">
        <v>75778</v>
      </c>
      <c r="J249" s="1">
        <v>14398</v>
      </c>
      <c r="K249" s="1">
        <v>79</v>
      </c>
      <c r="L249" s="1" t="s">
        <v>69</v>
      </c>
      <c r="M249" s="1" t="s">
        <v>21</v>
      </c>
      <c r="N249" s="6" t="s">
        <v>50</v>
      </c>
    </row>
    <row r="250" spans="1:14" x14ac:dyDescent="0.3">
      <c r="A250" s="5" t="s">
        <v>638</v>
      </c>
      <c r="B250" s="1" t="s">
        <v>467</v>
      </c>
      <c r="C250" s="1" t="s">
        <v>16</v>
      </c>
      <c r="D250" s="1">
        <v>26</v>
      </c>
      <c r="E250" s="1" t="s">
        <v>38</v>
      </c>
      <c r="F250" s="1" t="s">
        <v>48</v>
      </c>
      <c r="G250" s="1" t="s">
        <v>639</v>
      </c>
      <c r="H250" s="1">
        <v>14</v>
      </c>
      <c r="I250" s="1">
        <v>51459</v>
      </c>
      <c r="J250" s="1">
        <v>3088</v>
      </c>
      <c r="K250" s="1">
        <v>80</v>
      </c>
      <c r="L250" s="1" t="s">
        <v>40</v>
      </c>
      <c r="M250" s="1" t="s">
        <v>21</v>
      </c>
      <c r="N250" s="6" t="s">
        <v>44</v>
      </c>
    </row>
    <row r="251" spans="1:14" x14ac:dyDescent="0.3">
      <c r="A251" s="5" t="s">
        <v>640</v>
      </c>
      <c r="B251" s="1" t="s">
        <v>330</v>
      </c>
      <c r="C251" s="1" t="s">
        <v>31</v>
      </c>
      <c r="D251" s="1">
        <v>36</v>
      </c>
      <c r="E251" s="1" t="s">
        <v>17</v>
      </c>
      <c r="F251" s="1" t="s">
        <v>85</v>
      </c>
      <c r="G251" s="1" t="s">
        <v>641</v>
      </c>
      <c r="H251" s="1">
        <v>15</v>
      </c>
      <c r="I251" s="1">
        <v>57470</v>
      </c>
      <c r="J251" s="1">
        <v>7471</v>
      </c>
      <c r="K251" s="1">
        <v>98</v>
      </c>
      <c r="L251" s="1" t="s">
        <v>20</v>
      </c>
      <c r="M251" s="1" t="s">
        <v>117</v>
      </c>
      <c r="N251" s="6" t="s">
        <v>35</v>
      </c>
    </row>
    <row r="252" spans="1:14" x14ac:dyDescent="0.3">
      <c r="A252" s="5" t="s">
        <v>642</v>
      </c>
      <c r="B252" s="1" t="s">
        <v>167</v>
      </c>
      <c r="C252" s="1" t="s">
        <v>31</v>
      </c>
      <c r="D252" s="1">
        <v>48</v>
      </c>
      <c r="E252" s="1" t="s">
        <v>17</v>
      </c>
      <c r="F252" s="1" t="s">
        <v>85</v>
      </c>
      <c r="G252" s="1" t="s">
        <v>643</v>
      </c>
      <c r="H252" s="1">
        <v>12</v>
      </c>
      <c r="I252" s="1">
        <v>103797</v>
      </c>
      <c r="J252" s="1">
        <v>15570</v>
      </c>
      <c r="K252" s="1">
        <v>100</v>
      </c>
      <c r="L252" s="1" t="s">
        <v>69</v>
      </c>
      <c r="M252" s="1" t="s">
        <v>21</v>
      </c>
      <c r="N252" s="6" t="s">
        <v>22</v>
      </c>
    </row>
    <row r="253" spans="1:14" x14ac:dyDescent="0.3">
      <c r="A253" s="5" t="s">
        <v>644</v>
      </c>
      <c r="B253" s="1" t="s">
        <v>254</v>
      </c>
      <c r="C253" s="1" t="s">
        <v>16</v>
      </c>
      <c r="D253" s="1">
        <v>25</v>
      </c>
      <c r="E253" s="1" t="s">
        <v>32</v>
      </c>
      <c r="F253" s="1" t="s">
        <v>67</v>
      </c>
      <c r="G253" s="1" t="s">
        <v>645</v>
      </c>
      <c r="H253" s="1">
        <v>15</v>
      </c>
      <c r="I253" s="1">
        <v>32370</v>
      </c>
      <c r="J253" s="1">
        <v>4856</v>
      </c>
      <c r="K253" s="1">
        <v>97</v>
      </c>
      <c r="L253" s="1" t="s">
        <v>20</v>
      </c>
      <c r="M253" s="1" t="s">
        <v>117</v>
      </c>
      <c r="N253" s="6" t="s">
        <v>44</v>
      </c>
    </row>
    <row r="254" spans="1:14" x14ac:dyDescent="0.3">
      <c r="A254" s="5" t="s">
        <v>646</v>
      </c>
      <c r="B254" s="1" t="s">
        <v>410</v>
      </c>
      <c r="C254" s="1" t="s">
        <v>31</v>
      </c>
      <c r="D254" s="1">
        <v>26</v>
      </c>
      <c r="E254" s="1" t="s">
        <v>25</v>
      </c>
      <c r="F254" s="1" t="s">
        <v>67</v>
      </c>
      <c r="G254" s="1" t="s">
        <v>647</v>
      </c>
      <c r="H254" s="1">
        <v>5</v>
      </c>
      <c r="I254" s="1">
        <v>77699</v>
      </c>
      <c r="J254" s="1">
        <v>14763</v>
      </c>
      <c r="K254" s="1">
        <v>86</v>
      </c>
      <c r="L254" s="1" t="s">
        <v>20</v>
      </c>
      <c r="M254" s="1" t="s">
        <v>21</v>
      </c>
      <c r="N254" s="6" t="s">
        <v>28</v>
      </c>
    </row>
    <row r="255" spans="1:14" x14ac:dyDescent="0.3">
      <c r="A255" s="5" t="s">
        <v>648</v>
      </c>
      <c r="B255" s="1" t="s">
        <v>382</v>
      </c>
      <c r="C255" s="1" t="s">
        <v>31</v>
      </c>
      <c r="D255" s="1">
        <v>42</v>
      </c>
      <c r="E255" s="1" t="s">
        <v>47</v>
      </c>
      <c r="F255" s="1" t="s">
        <v>75</v>
      </c>
      <c r="G255" s="1" t="s">
        <v>459</v>
      </c>
      <c r="H255" s="1">
        <v>11</v>
      </c>
      <c r="I255" s="1">
        <v>110670</v>
      </c>
      <c r="J255" s="1">
        <v>15494</v>
      </c>
      <c r="K255" s="1">
        <v>93</v>
      </c>
      <c r="L255" s="1" t="s">
        <v>69</v>
      </c>
      <c r="M255" s="1" t="s">
        <v>21</v>
      </c>
      <c r="N255" s="6" t="s">
        <v>44</v>
      </c>
    </row>
    <row r="256" spans="1:14" x14ac:dyDescent="0.3">
      <c r="A256" s="5" t="s">
        <v>649</v>
      </c>
      <c r="B256" s="1" t="s">
        <v>631</v>
      </c>
      <c r="C256" s="1" t="s">
        <v>16</v>
      </c>
      <c r="D256" s="1">
        <v>28</v>
      </c>
      <c r="E256" s="1" t="s">
        <v>47</v>
      </c>
      <c r="F256" s="1" t="s">
        <v>67</v>
      </c>
      <c r="G256" s="1" t="s">
        <v>650</v>
      </c>
      <c r="H256" s="1">
        <v>6</v>
      </c>
      <c r="I256" s="1">
        <v>85331</v>
      </c>
      <c r="J256" s="1">
        <v>7680</v>
      </c>
      <c r="K256" s="1">
        <v>88</v>
      </c>
      <c r="L256" s="1" t="s">
        <v>40</v>
      </c>
      <c r="M256" s="1" t="s">
        <v>21</v>
      </c>
      <c r="N256" s="6" t="s">
        <v>28</v>
      </c>
    </row>
    <row r="257" spans="1:14" x14ac:dyDescent="0.3">
      <c r="A257" s="5" t="s">
        <v>651</v>
      </c>
      <c r="B257" s="1" t="s">
        <v>50</v>
      </c>
      <c r="C257" s="1" t="s">
        <v>16</v>
      </c>
      <c r="D257" s="1">
        <v>27</v>
      </c>
      <c r="E257" s="1" t="s">
        <v>59</v>
      </c>
      <c r="F257" s="1" t="s">
        <v>48</v>
      </c>
      <c r="G257" s="1" t="s">
        <v>652</v>
      </c>
      <c r="H257" s="1">
        <v>10</v>
      </c>
      <c r="I257" s="1">
        <v>104029</v>
      </c>
      <c r="J257" s="1">
        <v>17685</v>
      </c>
      <c r="K257" s="1">
        <v>92</v>
      </c>
      <c r="L257" s="1" t="s">
        <v>20</v>
      </c>
      <c r="M257" s="1" t="s">
        <v>117</v>
      </c>
      <c r="N257" s="6" t="s">
        <v>50</v>
      </c>
    </row>
    <row r="258" spans="1:14" x14ac:dyDescent="0.3">
      <c r="A258" s="5" t="s">
        <v>653</v>
      </c>
      <c r="B258" s="1" t="s">
        <v>327</v>
      </c>
      <c r="C258" s="1" t="s">
        <v>16</v>
      </c>
      <c r="D258" s="1">
        <v>29</v>
      </c>
      <c r="E258" s="1" t="s">
        <v>59</v>
      </c>
      <c r="F258" s="1" t="s">
        <v>48</v>
      </c>
      <c r="G258" s="1" t="s">
        <v>654</v>
      </c>
      <c r="H258" s="1">
        <v>15</v>
      </c>
      <c r="I258" s="1">
        <v>84200</v>
      </c>
      <c r="J258" s="1">
        <v>7578</v>
      </c>
      <c r="K258" s="1">
        <v>75</v>
      </c>
      <c r="L258" s="1" t="s">
        <v>34</v>
      </c>
      <c r="M258" s="1" t="s">
        <v>21</v>
      </c>
      <c r="N258" s="6" t="s">
        <v>35</v>
      </c>
    </row>
    <row r="259" spans="1:14" x14ac:dyDescent="0.3">
      <c r="A259" s="5" t="s">
        <v>655</v>
      </c>
      <c r="B259" s="1" t="s">
        <v>245</v>
      </c>
      <c r="C259" s="1" t="s">
        <v>31</v>
      </c>
      <c r="D259" s="1">
        <v>48</v>
      </c>
      <c r="E259" s="1" t="s">
        <v>17</v>
      </c>
      <c r="F259" s="1" t="s">
        <v>26</v>
      </c>
      <c r="G259" s="1" t="s">
        <v>656</v>
      </c>
      <c r="H259" s="1">
        <v>7</v>
      </c>
      <c r="I259" s="1">
        <v>45780</v>
      </c>
      <c r="J259" s="1">
        <v>5494</v>
      </c>
      <c r="K259" s="1">
        <v>80</v>
      </c>
      <c r="L259" s="1" t="s">
        <v>20</v>
      </c>
      <c r="M259" s="1" t="s">
        <v>21</v>
      </c>
      <c r="N259" s="6" t="s">
        <v>22</v>
      </c>
    </row>
    <row r="260" spans="1:14" x14ac:dyDescent="0.3">
      <c r="A260" s="5" t="s">
        <v>657</v>
      </c>
      <c r="B260" s="1" t="s">
        <v>280</v>
      </c>
      <c r="C260" s="1" t="s">
        <v>16</v>
      </c>
      <c r="D260" s="1">
        <v>46</v>
      </c>
      <c r="E260" s="1" t="s">
        <v>38</v>
      </c>
      <c r="F260" s="1" t="s">
        <v>67</v>
      </c>
      <c r="G260" s="1" t="s">
        <v>658</v>
      </c>
      <c r="H260" s="1">
        <v>13</v>
      </c>
      <c r="I260" s="1">
        <v>101946</v>
      </c>
      <c r="J260" s="1">
        <v>12234</v>
      </c>
      <c r="K260" s="1">
        <v>94</v>
      </c>
      <c r="L260" s="1" t="s">
        <v>69</v>
      </c>
      <c r="M260" s="1" t="s">
        <v>21</v>
      </c>
      <c r="N260" s="6" t="s">
        <v>22</v>
      </c>
    </row>
    <row r="261" spans="1:14" x14ac:dyDescent="0.3">
      <c r="A261" s="5" t="s">
        <v>659</v>
      </c>
      <c r="B261" s="1" t="s">
        <v>551</v>
      </c>
      <c r="C261" s="1" t="s">
        <v>16</v>
      </c>
      <c r="D261" s="1">
        <v>36</v>
      </c>
      <c r="E261" s="1" t="s">
        <v>32</v>
      </c>
      <c r="F261" s="1" t="s">
        <v>75</v>
      </c>
      <c r="G261" s="1" t="s">
        <v>660</v>
      </c>
      <c r="H261" s="1">
        <v>1</v>
      </c>
      <c r="I261" s="1">
        <v>47265</v>
      </c>
      <c r="J261" s="1">
        <v>9453</v>
      </c>
      <c r="K261" s="1">
        <v>86</v>
      </c>
      <c r="L261" s="1" t="s">
        <v>69</v>
      </c>
      <c r="M261" s="1" t="s">
        <v>21</v>
      </c>
      <c r="N261" s="6" t="s">
        <v>22</v>
      </c>
    </row>
    <row r="262" spans="1:14" x14ac:dyDescent="0.3">
      <c r="A262" s="5" t="s">
        <v>661</v>
      </c>
      <c r="B262" s="1" t="s">
        <v>106</v>
      </c>
      <c r="C262" s="1" t="s">
        <v>31</v>
      </c>
      <c r="D262" s="1">
        <v>24</v>
      </c>
      <c r="E262" s="1" t="s">
        <v>25</v>
      </c>
      <c r="F262" s="1" t="s">
        <v>26</v>
      </c>
      <c r="G262" s="1" t="s">
        <v>662</v>
      </c>
      <c r="H262" s="1">
        <v>13</v>
      </c>
      <c r="I262" s="1">
        <v>101310</v>
      </c>
      <c r="J262" s="1">
        <v>14183</v>
      </c>
      <c r="K262" s="1">
        <v>81</v>
      </c>
      <c r="L262" s="1" t="s">
        <v>34</v>
      </c>
      <c r="M262" s="1" t="s">
        <v>21</v>
      </c>
      <c r="N262" s="6" t="s">
        <v>28</v>
      </c>
    </row>
    <row r="263" spans="1:14" x14ac:dyDescent="0.3">
      <c r="A263" s="5" t="s">
        <v>663</v>
      </c>
      <c r="B263" s="1" t="s">
        <v>44</v>
      </c>
      <c r="C263" s="1" t="s">
        <v>16</v>
      </c>
      <c r="D263" s="1">
        <v>39</v>
      </c>
      <c r="E263" s="1" t="s">
        <v>38</v>
      </c>
      <c r="F263" s="1" t="s">
        <v>67</v>
      </c>
      <c r="G263" s="1" t="s">
        <v>664</v>
      </c>
      <c r="H263" s="1">
        <v>12</v>
      </c>
      <c r="I263" s="1">
        <v>28704</v>
      </c>
      <c r="J263" s="1">
        <v>4880</v>
      </c>
      <c r="K263" s="1">
        <v>92</v>
      </c>
      <c r="L263" s="1" t="s">
        <v>34</v>
      </c>
      <c r="M263" s="1" t="s">
        <v>21</v>
      </c>
      <c r="N263" s="6" t="s">
        <v>22</v>
      </c>
    </row>
    <row r="264" spans="1:14" x14ac:dyDescent="0.3">
      <c r="A264" s="5" t="s">
        <v>665</v>
      </c>
      <c r="B264" s="1" t="s">
        <v>81</v>
      </c>
      <c r="C264" s="1" t="s">
        <v>31</v>
      </c>
      <c r="D264" s="1">
        <v>42</v>
      </c>
      <c r="E264" s="1" t="s">
        <v>59</v>
      </c>
      <c r="F264" s="1" t="s">
        <v>48</v>
      </c>
      <c r="G264" s="1" t="s">
        <v>666</v>
      </c>
      <c r="H264" s="1">
        <v>2</v>
      </c>
      <c r="I264" s="1">
        <v>82693</v>
      </c>
      <c r="J264" s="1">
        <v>7442</v>
      </c>
      <c r="K264" s="1">
        <v>85</v>
      </c>
      <c r="L264" s="1" t="s">
        <v>20</v>
      </c>
      <c r="M264" s="1" t="s">
        <v>21</v>
      </c>
      <c r="N264" s="6" t="s">
        <v>22</v>
      </c>
    </row>
    <row r="265" spans="1:14" x14ac:dyDescent="0.3">
      <c r="A265" s="5" t="s">
        <v>667</v>
      </c>
      <c r="B265" s="1" t="s">
        <v>668</v>
      </c>
      <c r="C265" s="1" t="s">
        <v>16</v>
      </c>
      <c r="D265" s="1">
        <v>23</v>
      </c>
      <c r="E265" s="1" t="s">
        <v>47</v>
      </c>
      <c r="F265" s="1" t="s">
        <v>60</v>
      </c>
      <c r="G265" s="1" t="s">
        <v>669</v>
      </c>
      <c r="H265" s="1">
        <v>8</v>
      </c>
      <c r="I265" s="1">
        <v>98770</v>
      </c>
      <c r="J265" s="1">
        <v>6914</v>
      </c>
      <c r="K265" s="1">
        <v>86</v>
      </c>
      <c r="L265" s="1" t="s">
        <v>69</v>
      </c>
      <c r="M265" s="1" t="s">
        <v>21</v>
      </c>
      <c r="N265" s="6" t="s">
        <v>22</v>
      </c>
    </row>
    <row r="266" spans="1:14" x14ac:dyDescent="0.3">
      <c r="A266" s="5" t="s">
        <v>670</v>
      </c>
      <c r="B266" s="1" t="s">
        <v>184</v>
      </c>
      <c r="C266" s="1" t="s">
        <v>16</v>
      </c>
      <c r="D266" s="1">
        <v>40</v>
      </c>
      <c r="E266" s="1" t="s">
        <v>38</v>
      </c>
      <c r="F266" s="1" t="s">
        <v>48</v>
      </c>
      <c r="G266" s="1" t="s">
        <v>671</v>
      </c>
      <c r="H266" s="1">
        <v>4</v>
      </c>
      <c r="I266" s="1">
        <v>96757</v>
      </c>
      <c r="J266" s="1">
        <v>9676</v>
      </c>
      <c r="K266" s="1">
        <v>91</v>
      </c>
      <c r="L266" s="1" t="s">
        <v>40</v>
      </c>
      <c r="M266" s="1" t="s">
        <v>21</v>
      </c>
      <c r="N266" s="6" t="s">
        <v>22</v>
      </c>
    </row>
    <row r="267" spans="1:14" x14ac:dyDescent="0.3">
      <c r="A267" s="5" t="s">
        <v>672</v>
      </c>
      <c r="B267" s="1" t="s">
        <v>109</v>
      </c>
      <c r="C267" s="1" t="s">
        <v>31</v>
      </c>
      <c r="D267" s="1">
        <v>50</v>
      </c>
      <c r="E267" s="1" t="s">
        <v>17</v>
      </c>
      <c r="F267" s="1" t="s">
        <v>48</v>
      </c>
      <c r="G267" s="1" t="s">
        <v>673</v>
      </c>
      <c r="H267" s="1">
        <v>0</v>
      </c>
      <c r="I267" s="1">
        <v>102680</v>
      </c>
      <c r="J267" s="1">
        <v>13348</v>
      </c>
      <c r="K267" s="1">
        <v>98</v>
      </c>
      <c r="L267" s="1" t="s">
        <v>69</v>
      </c>
      <c r="M267" s="1" t="s">
        <v>21</v>
      </c>
      <c r="N267" s="6" t="s">
        <v>50</v>
      </c>
    </row>
    <row r="268" spans="1:14" x14ac:dyDescent="0.3">
      <c r="A268" s="5" t="s">
        <v>674</v>
      </c>
      <c r="B268" s="1" t="s">
        <v>97</v>
      </c>
      <c r="C268" s="1" t="s">
        <v>31</v>
      </c>
      <c r="D268" s="1">
        <v>30</v>
      </c>
      <c r="E268" s="1" t="s">
        <v>32</v>
      </c>
      <c r="F268" s="1" t="s">
        <v>60</v>
      </c>
      <c r="G268" s="1" t="s">
        <v>675</v>
      </c>
      <c r="H268" s="1">
        <v>6</v>
      </c>
      <c r="I268" s="1">
        <v>49320</v>
      </c>
      <c r="J268" s="1">
        <v>5918</v>
      </c>
      <c r="K268" s="1">
        <v>79</v>
      </c>
      <c r="L268" s="1" t="s">
        <v>20</v>
      </c>
      <c r="M268" s="1" t="s">
        <v>21</v>
      </c>
      <c r="N268" s="6" t="s">
        <v>44</v>
      </c>
    </row>
    <row r="269" spans="1:14" x14ac:dyDescent="0.3">
      <c r="A269" s="5" t="s">
        <v>676</v>
      </c>
      <c r="B269" s="1" t="s">
        <v>214</v>
      </c>
      <c r="C269" s="1" t="s">
        <v>16</v>
      </c>
      <c r="D269" s="1">
        <v>27</v>
      </c>
      <c r="E269" s="1" t="s">
        <v>47</v>
      </c>
      <c r="F269" s="1" t="s">
        <v>67</v>
      </c>
      <c r="G269" s="1" t="s">
        <v>677</v>
      </c>
      <c r="H269" s="1">
        <v>7</v>
      </c>
      <c r="I269" s="1">
        <v>75844</v>
      </c>
      <c r="J269" s="1">
        <v>14410</v>
      </c>
      <c r="K269" s="1">
        <v>76</v>
      </c>
      <c r="L269" s="1" t="s">
        <v>20</v>
      </c>
      <c r="M269" s="1" t="s">
        <v>21</v>
      </c>
      <c r="N269" s="6" t="s">
        <v>28</v>
      </c>
    </row>
    <row r="270" spans="1:14" x14ac:dyDescent="0.3">
      <c r="A270" s="5" t="s">
        <v>678</v>
      </c>
      <c r="B270" s="1" t="s">
        <v>139</v>
      </c>
      <c r="C270" s="1" t="s">
        <v>31</v>
      </c>
      <c r="D270" s="1">
        <v>45</v>
      </c>
      <c r="E270" s="1" t="s">
        <v>47</v>
      </c>
      <c r="F270" s="1" t="s">
        <v>18</v>
      </c>
      <c r="G270" s="1" t="s">
        <v>679</v>
      </c>
      <c r="H270" s="1">
        <v>4</v>
      </c>
      <c r="I270" s="1">
        <v>95233</v>
      </c>
      <c r="J270" s="1">
        <v>19047</v>
      </c>
      <c r="K270" s="1">
        <v>85</v>
      </c>
      <c r="L270" s="1" t="s">
        <v>40</v>
      </c>
      <c r="M270" s="1" t="s">
        <v>21</v>
      </c>
      <c r="N270" s="6" t="s">
        <v>28</v>
      </c>
    </row>
    <row r="271" spans="1:14" x14ac:dyDescent="0.3">
      <c r="A271" s="5" t="s">
        <v>680</v>
      </c>
      <c r="B271" s="1" t="s">
        <v>142</v>
      </c>
      <c r="C271" s="1" t="s">
        <v>31</v>
      </c>
      <c r="D271" s="1">
        <v>29</v>
      </c>
      <c r="E271" s="1" t="s">
        <v>32</v>
      </c>
      <c r="F271" s="1" t="s">
        <v>67</v>
      </c>
      <c r="G271" s="1" t="s">
        <v>681</v>
      </c>
      <c r="H271" s="1">
        <v>4</v>
      </c>
      <c r="I271" s="1">
        <v>94426</v>
      </c>
      <c r="J271" s="1">
        <v>15108</v>
      </c>
      <c r="K271" s="1">
        <v>89</v>
      </c>
      <c r="L271" s="1" t="s">
        <v>40</v>
      </c>
      <c r="M271" s="1" t="s">
        <v>21</v>
      </c>
      <c r="N271" s="6" t="s">
        <v>44</v>
      </c>
    </row>
    <row r="272" spans="1:14" x14ac:dyDescent="0.3">
      <c r="A272" s="5" t="s">
        <v>682</v>
      </c>
      <c r="B272" s="1" t="s">
        <v>245</v>
      </c>
      <c r="C272" s="1" t="s">
        <v>16</v>
      </c>
      <c r="D272" s="1">
        <v>36</v>
      </c>
      <c r="E272" s="1" t="s">
        <v>47</v>
      </c>
      <c r="F272" s="1" t="s">
        <v>48</v>
      </c>
      <c r="G272" s="1" t="s">
        <v>683</v>
      </c>
      <c r="H272" s="1">
        <v>4</v>
      </c>
      <c r="I272" s="1">
        <v>53457</v>
      </c>
      <c r="J272" s="1">
        <v>9622</v>
      </c>
      <c r="K272" s="1">
        <v>88</v>
      </c>
      <c r="L272" s="1" t="s">
        <v>34</v>
      </c>
      <c r="M272" s="1" t="s">
        <v>21</v>
      </c>
      <c r="N272" s="6" t="s">
        <v>22</v>
      </c>
    </row>
    <row r="273" spans="1:14" x14ac:dyDescent="0.3">
      <c r="A273" s="5" t="s">
        <v>684</v>
      </c>
      <c r="B273" s="1" t="s">
        <v>523</v>
      </c>
      <c r="C273" s="1" t="s">
        <v>16</v>
      </c>
      <c r="D273" s="1">
        <v>48</v>
      </c>
      <c r="E273" s="1" t="s">
        <v>25</v>
      </c>
      <c r="F273" s="1" t="s">
        <v>48</v>
      </c>
      <c r="G273" s="1" t="s">
        <v>153</v>
      </c>
      <c r="H273" s="1">
        <v>15</v>
      </c>
      <c r="I273" s="1">
        <v>102862</v>
      </c>
      <c r="J273" s="1">
        <v>8229</v>
      </c>
      <c r="K273" s="1">
        <v>98</v>
      </c>
      <c r="L273" s="1" t="s">
        <v>34</v>
      </c>
      <c r="M273" s="1" t="s">
        <v>21</v>
      </c>
      <c r="N273" s="6" t="s">
        <v>35</v>
      </c>
    </row>
    <row r="274" spans="1:14" x14ac:dyDescent="0.3">
      <c r="A274" s="5" t="s">
        <v>685</v>
      </c>
      <c r="B274" s="1" t="s">
        <v>554</v>
      </c>
      <c r="C274" s="1" t="s">
        <v>16</v>
      </c>
      <c r="D274" s="1">
        <v>44</v>
      </c>
      <c r="E274" s="1" t="s">
        <v>17</v>
      </c>
      <c r="F274" s="1" t="s">
        <v>48</v>
      </c>
      <c r="G274" s="1" t="s">
        <v>686</v>
      </c>
      <c r="H274" s="1">
        <v>11</v>
      </c>
      <c r="I274" s="1">
        <v>54896</v>
      </c>
      <c r="J274" s="1">
        <v>6039</v>
      </c>
      <c r="K274" s="1">
        <v>75</v>
      </c>
      <c r="L274" s="1" t="s">
        <v>69</v>
      </c>
      <c r="M274" s="1" t="s">
        <v>21</v>
      </c>
      <c r="N274" s="6" t="s">
        <v>44</v>
      </c>
    </row>
    <row r="275" spans="1:14" x14ac:dyDescent="0.3">
      <c r="A275" s="5" t="s">
        <v>687</v>
      </c>
      <c r="B275" s="1" t="s">
        <v>430</v>
      </c>
      <c r="C275" s="1" t="s">
        <v>31</v>
      </c>
      <c r="D275" s="1">
        <v>29</v>
      </c>
      <c r="E275" s="1" t="s">
        <v>17</v>
      </c>
      <c r="F275" s="1" t="s">
        <v>18</v>
      </c>
      <c r="G275" s="1" t="s">
        <v>688</v>
      </c>
      <c r="H275" s="1">
        <v>2</v>
      </c>
      <c r="I275" s="1">
        <v>93398</v>
      </c>
      <c r="J275" s="1">
        <v>8406</v>
      </c>
      <c r="K275" s="1">
        <v>95</v>
      </c>
      <c r="L275" s="1" t="s">
        <v>34</v>
      </c>
      <c r="M275" s="1" t="s">
        <v>21</v>
      </c>
      <c r="N275" s="6" t="s">
        <v>35</v>
      </c>
    </row>
    <row r="276" spans="1:14" x14ac:dyDescent="0.3">
      <c r="A276" s="5" t="s">
        <v>689</v>
      </c>
      <c r="B276" s="1" t="s">
        <v>139</v>
      </c>
      <c r="C276" s="1" t="s">
        <v>31</v>
      </c>
      <c r="D276" s="1">
        <v>48</v>
      </c>
      <c r="E276" s="1" t="s">
        <v>47</v>
      </c>
      <c r="F276" s="1" t="s">
        <v>48</v>
      </c>
      <c r="G276" s="1" t="s">
        <v>690</v>
      </c>
      <c r="H276" s="1">
        <v>2</v>
      </c>
      <c r="I276" s="1">
        <v>108186</v>
      </c>
      <c r="J276" s="1">
        <v>7573</v>
      </c>
      <c r="K276" s="1">
        <v>87</v>
      </c>
      <c r="L276" s="1" t="s">
        <v>34</v>
      </c>
      <c r="M276" s="1" t="s">
        <v>21</v>
      </c>
      <c r="N276" s="6" t="s">
        <v>22</v>
      </c>
    </row>
    <row r="277" spans="1:14" x14ac:dyDescent="0.3">
      <c r="A277" s="5" t="s">
        <v>691</v>
      </c>
      <c r="B277" s="1" t="s">
        <v>692</v>
      </c>
      <c r="C277" s="1" t="s">
        <v>16</v>
      </c>
      <c r="D277" s="1">
        <v>45</v>
      </c>
      <c r="E277" s="1" t="s">
        <v>17</v>
      </c>
      <c r="F277" s="1" t="s">
        <v>60</v>
      </c>
      <c r="G277" s="1" t="s">
        <v>693</v>
      </c>
      <c r="H277" s="1">
        <v>14</v>
      </c>
      <c r="I277" s="1">
        <v>103184</v>
      </c>
      <c r="J277" s="1">
        <v>17541</v>
      </c>
      <c r="K277" s="1">
        <v>99</v>
      </c>
      <c r="L277" s="1" t="s">
        <v>20</v>
      </c>
      <c r="M277" s="1" t="s">
        <v>117</v>
      </c>
      <c r="N277" s="6" t="s">
        <v>50</v>
      </c>
    </row>
    <row r="278" spans="1:14" x14ac:dyDescent="0.3">
      <c r="A278" s="5" t="s">
        <v>694</v>
      </c>
      <c r="B278" s="1" t="s">
        <v>565</v>
      </c>
      <c r="C278" s="1" t="s">
        <v>31</v>
      </c>
      <c r="D278" s="1">
        <v>23</v>
      </c>
      <c r="E278" s="1" t="s">
        <v>32</v>
      </c>
      <c r="F278" s="1" t="s">
        <v>85</v>
      </c>
      <c r="G278" s="1" t="s">
        <v>284</v>
      </c>
      <c r="H278" s="1">
        <v>0</v>
      </c>
      <c r="I278" s="1">
        <v>67895</v>
      </c>
      <c r="J278" s="1">
        <v>10184</v>
      </c>
      <c r="K278" s="1">
        <v>95</v>
      </c>
      <c r="L278" s="1" t="s">
        <v>34</v>
      </c>
      <c r="M278" s="1" t="s">
        <v>21</v>
      </c>
      <c r="N278" s="6" t="s">
        <v>44</v>
      </c>
    </row>
    <row r="279" spans="1:14" x14ac:dyDescent="0.3">
      <c r="A279" s="5" t="s">
        <v>695</v>
      </c>
      <c r="B279" s="1" t="s">
        <v>88</v>
      </c>
      <c r="C279" s="1" t="s">
        <v>16</v>
      </c>
      <c r="D279" s="1">
        <v>42</v>
      </c>
      <c r="E279" s="1" t="s">
        <v>32</v>
      </c>
      <c r="F279" s="1" t="s">
        <v>48</v>
      </c>
      <c r="G279" s="1" t="s">
        <v>696</v>
      </c>
      <c r="H279" s="1">
        <v>4</v>
      </c>
      <c r="I279" s="1">
        <v>56442</v>
      </c>
      <c r="J279" s="1">
        <v>9595</v>
      </c>
      <c r="K279" s="1">
        <v>78</v>
      </c>
      <c r="L279" s="1" t="s">
        <v>34</v>
      </c>
      <c r="M279" s="1" t="s">
        <v>21</v>
      </c>
      <c r="N279" s="6" t="s">
        <v>22</v>
      </c>
    </row>
    <row r="280" spans="1:14" x14ac:dyDescent="0.3">
      <c r="A280" s="5" t="s">
        <v>697</v>
      </c>
      <c r="B280" s="1" t="s">
        <v>698</v>
      </c>
      <c r="C280" s="1" t="s">
        <v>16</v>
      </c>
      <c r="D280" s="1">
        <v>39</v>
      </c>
      <c r="E280" s="1" t="s">
        <v>59</v>
      </c>
      <c r="F280" s="1" t="s">
        <v>26</v>
      </c>
      <c r="G280" s="1" t="s">
        <v>699</v>
      </c>
      <c r="H280" s="1">
        <v>14</v>
      </c>
      <c r="I280" s="1">
        <v>93987</v>
      </c>
      <c r="J280" s="1">
        <v>16918</v>
      </c>
      <c r="K280" s="1">
        <v>95</v>
      </c>
      <c r="L280" s="1" t="s">
        <v>20</v>
      </c>
      <c r="M280" s="1" t="s">
        <v>117</v>
      </c>
      <c r="N280" s="6" t="s">
        <v>28</v>
      </c>
    </row>
    <row r="281" spans="1:14" x14ac:dyDescent="0.3">
      <c r="A281" s="5" t="s">
        <v>700</v>
      </c>
      <c r="B281" s="1" t="s">
        <v>94</v>
      </c>
      <c r="C281" s="1" t="s">
        <v>31</v>
      </c>
      <c r="D281" s="1">
        <v>31</v>
      </c>
      <c r="E281" s="1" t="s">
        <v>17</v>
      </c>
      <c r="F281" s="1" t="s">
        <v>67</v>
      </c>
      <c r="G281" s="1" t="s">
        <v>408</v>
      </c>
      <c r="H281" s="1">
        <v>1</v>
      </c>
      <c r="I281" s="1">
        <v>84221</v>
      </c>
      <c r="J281" s="1">
        <v>6738</v>
      </c>
      <c r="K281" s="1">
        <v>84</v>
      </c>
      <c r="L281" s="1" t="s">
        <v>69</v>
      </c>
      <c r="M281" s="1" t="s">
        <v>21</v>
      </c>
      <c r="N281" s="6" t="s">
        <v>44</v>
      </c>
    </row>
    <row r="282" spans="1:14" x14ac:dyDescent="0.3">
      <c r="A282" s="5" t="s">
        <v>701</v>
      </c>
      <c r="B282" s="1" t="s">
        <v>81</v>
      </c>
      <c r="C282" s="1" t="s">
        <v>16</v>
      </c>
      <c r="D282" s="1">
        <v>40</v>
      </c>
      <c r="E282" s="1" t="s">
        <v>47</v>
      </c>
      <c r="F282" s="1" t="s">
        <v>75</v>
      </c>
      <c r="G282" s="1" t="s">
        <v>273</v>
      </c>
      <c r="H282" s="1">
        <v>10</v>
      </c>
      <c r="I282" s="1">
        <v>74067</v>
      </c>
      <c r="J282" s="1">
        <v>4444</v>
      </c>
      <c r="K282" s="1">
        <v>95</v>
      </c>
      <c r="L282" s="1" t="s">
        <v>40</v>
      </c>
      <c r="M282" s="1" t="s">
        <v>21</v>
      </c>
      <c r="N282" s="6" t="s">
        <v>28</v>
      </c>
    </row>
    <row r="283" spans="1:14" x14ac:dyDescent="0.3">
      <c r="A283" s="5" t="s">
        <v>702</v>
      </c>
      <c r="B283" s="1" t="s">
        <v>119</v>
      </c>
      <c r="C283" s="1" t="s">
        <v>31</v>
      </c>
      <c r="D283" s="1">
        <v>27</v>
      </c>
      <c r="E283" s="1" t="s">
        <v>32</v>
      </c>
      <c r="F283" s="1" t="s">
        <v>85</v>
      </c>
      <c r="G283" s="1" t="s">
        <v>703</v>
      </c>
      <c r="H283" s="1">
        <v>7</v>
      </c>
      <c r="I283" s="1">
        <v>88715</v>
      </c>
      <c r="J283" s="1">
        <v>6210</v>
      </c>
      <c r="K283" s="1">
        <v>76</v>
      </c>
      <c r="L283" s="1" t="s">
        <v>20</v>
      </c>
      <c r="M283" s="1" t="s">
        <v>21</v>
      </c>
      <c r="N283" s="6" t="s">
        <v>28</v>
      </c>
    </row>
    <row r="284" spans="1:14" x14ac:dyDescent="0.3">
      <c r="A284" s="5" t="s">
        <v>704</v>
      </c>
      <c r="B284" s="1" t="s">
        <v>430</v>
      </c>
      <c r="C284" s="1" t="s">
        <v>31</v>
      </c>
      <c r="D284" s="1">
        <v>31</v>
      </c>
      <c r="E284" s="1" t="s">
        <v>32</v>
      </c>
      <c r="F284" s="1" t="s">
        <v>60</v>
      </c>
      <c r="G284" s="1" t="s">
        <v>705</v>
      </c>
      <c r="H284" s="1">
        <v>5</v>
      </c>
      <c r="I284" s="1">
        <v>101212</v>
      </c>
      <c r="J284" s="1">
        <v>8097</v>
      </c>
      <c r="K284" s="1">
        <v>94</v>
      </c>
      <c r="L284" s="1" t="s">
        <v>34</v>
      </c>
      <c r="M284" s="1" t="s">
        <v>21</v>
      </c>
      <c r="N284" s="6" t="s">
        <v>28</v>
      </c>
    </row>
    <row r="285" spans="1:14" x14ac:dyDescent="0.3">
      <c r="A285" s="5" t="s">
        <v>706</v>
      </c>
      <c r="B285" s="1" t="s">
        <v>707</v>
      </c>
      <c r="C285" s="1" t="s">
        <v>16</v>
      </c>
      <c r="D285" s="1">
        <v>23</v>
      </c>
      <c r="E285" s="1" t="s">
        <v>32</v>
      </c>
      <c r="F285" s="1" t="s">
        <v>85</v>
      </c>
      <c r="G285" s="1" t="s">
        <v>708</v>
      </c>
      <c r="H285" s="1">
        <v>2</v>
      </c>
      <c r="I285" s="1">
        <v>27749</v>
      </c>
      <c r="J285" s="1">
        <v>3330</v>
      </c>
      <c r="K285" s="1">
        <v>78</v>
      </c>
      <c r="L285" s="1" t="s">
        <v>20</v>
      </c>
      <c r="M285" s="1" t="s">
        <v>21</v>
      </c>
      <c r="N285" s="6" t="s">
        <v>22</v>
      </c>
    </row>
    <row r="286" spans="1:14" x14ac:dyDescent="0.3">
      <c r="A286" s="5" t="s">
        <v>709</v>
      </c>
      <c r="B286" s="1" t="s">
        <v>467</v>
      </c>
      <c r="C286" s="1" t="s">
        <v>31</v>
      </c>
      <c r="D286" s="1">
        <v>39</v>
      </c>
      <c r="E286" s="1" t="s">
        <v>25</v>
      </c>
      <c r="F286" s="1" t="s">
        <v>75</v>
      </c>
      <c r="G286" s="1" t="s">
        <v>710</v>
      </c>
      <c r="H286" s="1">
        <v>2</v>
      </c>
      <c r="I286" s="1">
        <v>41763</v>
      </c>
      <c r="J286" s="1">
        <v>6264</v>
      </c>
      <c r="K286" s="1">
        <v>92</v>
      </c>
      <c r="L286" s="1" t="s">
        <v>40</v>
      </c>
      <c r="M286" s="1" t="s">
        <v>21</v>
      </c>
      <c r="N286" s="6" t="s">
        <v>28</v>
      </c>
    </row>
    <row r="287" spans="1:14" x14ac:dyDescent="0.3">
      <c r="A287" s="5" t="s">
        <v>711</v>
      </c>
      <c r="B287" s="1" t="s">
        <v>712</v>
      </c>
      <c r="C287" s="1" t="s">
        <v>31</v>
      </c>
      <c r="D287" s="1">
        <v>41</v>
      </c>
      <c r="E287" s="1" t="s">
        <v>59</v>
      </c>
      <c r="F287" s="1" t="s">
        <v>85</v>
      </c>
      <c r="G287" s="1" t="s">
        <v>713</v>
      </c>
      <c r="H287" s="1">
        <v>2</v>
      </c>
      <c r="I287" s="1">
        <v>91958</v>
      </c>
      <c r="J287" s="1">
        <v>9196</v>
      </c>
      <c r="K287" s="1">
        <v>97</v>
      </c>
      <c r="L287" s="1" t="s">
        <v>69</v>
      </c>
      <c r="M287" s="1" t="s">
        <v>21</v>
      </c>
      <c r="N287" s="6" t="s">
        <v>28</v>
      </c>
    </row>
    <row r="288" spans="1:14" x14ac:dyDescent="0.3">
      <c r="A288" s="5" t="s">
        <v>714</v>
      </c>
      <c r="B288" s="1" t="s">
        <v>184</v>
      </c>
      <c r="C288" s="1" t="s">
        <v>31</v>
      </c>
      <c r="D288" s="1">
        <v>45</v>
      </c>
      <c r="E288" s="1" t="s">
        <v>17</v>
      </c>
      <c r="F288" s="1" t="s">
        <v>18</v>
      </c>
      <c r="G288" s="1" t="s">
        <v>715</v>
      </c>
      <c r="H288" s="1">
        <v>12</v>
      </c>
      <c r="I288" s="1">
        <v>35489</v>
      </c>
      <c r="J288" s="1">
        <v>6388</v>
      </c>
      <c r="K288" s="1">
        <v>89</v>
      </c>
      <c r="L288" s="1" t="s">
        <v>40</v>
      </c>
      <c r="M288" s="1" t="s">
        <v>21</v>
      </c>
      <c r="N288" s="6" t="s">
        <v>35</v>
      </c>
    </row>
    <row r="289" spans="1:14" x14ac:dyDescent="0.3">
      <c r="A289" s="5" t="s">
        <v>716</v>
      </c>
      <c r="B289" s="1" t="s">
        <v>266</v>
      </c>
      <c r="C289" s="1" t="s">
        <v>16</v>
      </c>
      <c r="D289" s="1">
        <v>36</v>
      </c>
      <c r="E289" s="1" t="s">
        <v>38</v>
      </c>
      <c r="F289" s="1" t="s">
        <v>26</v>
      </c>
      <c r="G289" s="1" t="s">
        <v>717</v>
      </c>
      <c r="H289" s="1">
        <v>4</v>
      </c>
      <c r="I289" s="1">
        <v>110865</v>
      </c>
      <c r="J289" s="1">
        <v>15521</v>
      </c>
      <c r="K289" s="1">
        <v>86</v>
      </c>
      <c r="L289" s="1" t="s">
        <v>20</v>
      </c>
      <c r="M289" s="1" t="s">
        <v>21</v>
      </c>
      <c r="N289" s="6" t="s">
        <v>22</v>
      </c>
    </row>
    <row r="290" spans="1:14" x14ac:dyDescent="0.3">
      <c r="A290" s="5" t="s">
        <v>718</v>
      </c>
      <c r="B290" s="1" t="s">
        <v>719</v>
      </c>
      <c r="C290" s="1" t="s">
        <v>31</v>
      </c>
      <c r="D290" s="1">
        <v>40</v>
      </c>
      <c r="E290" s="1" t="s">
        <v>59</v>
      </c>
      <c r="F290" s="1" t="s">
        <v>67</v>
      </c>
      <c r="G290" s="1" t="s">
        <v>720</v>
      </c>
      <c r="H290" s="1">
        <v>13</v>
      </c>
      <c r="I290" s="1">
        <v>42285</v>
      </c>
      <c r="J290" s="1">
        <v>7611</v>
      </c>
      <c r="K290" s="1">
        <v>78</v>
      </c>
      <c r="L290" s="1" t="s">
        <v>40</v>
      </c>
      <c r="M290" s="1" t="s">
        <v>21</v>
      </c>
      <c r="N290" s="6" t="s">
        <v>50</v>
      </c>
    </row>
    <row r="291" spans="1:14" x14ac:dyDescent="0.3">
      <c r="A291" s="5" t="s">
        <v>721</v>
      </c>
      <c r="B291" s="1" t="s">
        <v>97</v>
      </c>
      <c r="C291" s="1" t="s">
        <v>16</v>
      </c>
      <c r="D291" s="1">
        <v>35</v>
      </c>
      <c r="E291" s="1" t="s">
        <v>47</v>
      </c>
      <c r="F291" s="1" t="s">
        <v>60</v>
      </c>
      <c r="G291" s="1" t="s">
        <v>722</v>
      </c>
      <c r="H291" s="1">
        <v>2</v>
      </c>
      <c r="I291" s="1">
        <v>109672</v>
      </c>
      <c r="J291" s="1">
        <v>21934</v>
      </c>
      <c r="K291" s="1">
        <v>85</v>
      </c>
      <c r="L291" s="1" t="s">
        <v>40</v>
      </c>
      <c r="M291" s="1" t="s">
        <v>21</v>
      </c>
      <c r="N291" s="6" t="s">
        <v>50</v>
      </c>
    </row>
    <row r="292" spans="1:14" x14ac:dyDescent="0.3">
      <c r="A292" s="5" t="s">
        <v>723</v>
      </c>
      <c r="B292" s="1" t="s">
        <v>322</v>
      </c>
      <c r="C292" s="1" t="s">
        <v>16</v>
      </c>
      <c r="D292" s="1">
        <v>41</v>
      </c>
      <c r="E292" s="1" t="s">
        <v>38</v>
      </c>
      <c r="F292" s="1" t="s">
        <v>18</v>
      </c>
      <c r="G292" s="1" t="s">
        <v>724</v>
      </c>
      <c r="H292" s="1">
        <v>4</v>
      </c>
      <c r="I292" s="1">
        <v>79867</v>
      </c>
      <c r="J292" s="1">
        <v>3993</v>
      </c>
      <c r="K292" s="1">
        <v>89</v>
      </c>
      <c r="L292" s="1" t="s">
        <v>34</v>
      </c>
      <c r="M292" s="1" t="s">
        <v>21</v>
      </c>
      <c r="N292" s="6" t="s">
        <v>35</v>
      </c>
    </row>
    <row r="293" spans="1:14" x14ac:dyDescent="0.3">
      <c r="A293" s="5" t="s">
        <v>725</v>
      </c>
      <c r="B293" s="1" t="s">
        <v>319</v>
      </c>
      <c r="C293" s="1" t="s">
        <v>31</v>
      </c>
      <c r="D293" s="1">
        <v>23</v>
      </c>
      <c r="E293" s="1" t="s">
        <v>32</v>
      </c>
      <c r="F293" s="1" t="s">
        <v>18</v>
      </c>
      <c r="G293" s="1" t="s">
        <v>726</v>
      </c>
      <c r="H293" s="1">
        <v>13</v>
      </c>
      <c r="I293" s="1">
        <v>86263</v>
      </c>
      <c r="J293" s="1">
        <v>5176</v>
      </c>
      <c r="K293" s="1">
        <v>75</v>
      </c>
      <c r="L293" s="1" t="s">
        <v>40</v>
      </c>
      <c r="M293" s="1" t="s">
        <v>21</v>
      </c>
      <c r="N293" s="6" t="s">
        <v>44</v>
      </c>
    </row>
    <row r="294" spans="1:14" x14ac:dyDescent="0.3">
      <c r="A294" s="5" t="s">
        <v>727</v>
      </c>
      <c r="B294" s="1" t="s">
        <v>170</v>
      </c>
      <c r="C294" s="1" t="s">
        <v>16</v>
      </c>
      <c r="D294" s="1">
        <v>29</v>
      </c>
      <c r="E294" s="1" t="s">
        <v>32</v>
      </c>
      <c r="F294" s="1" t="s">
        <v>85</v>
      </c>
      <c r="G294" s="1" t="s">
        <v>728</v>
      </c>
      <c r="H294" s="1">
        <v>7</v>
      </c>
      <c r="I294" s="1">
        <v>104652</v>
      </c>
      <c r="J294" s="1">
        <v>14651</v>
      </c>
      <c r="K294" s="1">
        <v>89</v>
      </c>
      <c r="L294" s="1" t="s">
        <v>69</v>
      </c>
      <c r="M294" s="1" t="s">
        <v>21</v>
      </c>
      <c r="N294" s="6" t="s">
        <v>50</v>
      </c>
    </row>
    <row r="295" spans="1:14" x14ac:dyDescent="0.3">
      <c r="A295" s="5" t="s">
        <v>729</v>
      </c>
      <c r="B295" s="1" t="s">
        <v>266</v>
      </c>
      <c r="C295" s="1" t="s">
        <v>31</v>
      </c>
      <c r="D295" s="1">
        <v>28</v>
      </c>
      <c r="E295" s="1" t="s">
        <v>17</v>
      </c>
      <c r="F295" s="1" t="s">
        <v>85</v>
      </c>
      <c r="G295" s="1" t="s">
        <v>730</v>
      </c>
      <c r="H295" s="1">
        <v>9</v>
      </c>
      <c r="I295" s="1">
        <v>61103</v>
      </c>
      <c r="J295" s="1">
        <v>3055</v>
      </c>
      <c r="K295" s="1">
        <v>93</v>
      </c>
      <c r="L295" s="1" t="s">
        <v>69</v>
      </c>
      <c r="M295" s="1" t="s">
        <v>21</v>
      </c>
      <c r="N295" s="6" t="s">
        <v>50</v>
      </c>
    </row>
    <row r="296" spans="1:14" x14ac:dyDescent="0.3">
      <c r="A296" s="5" t="s">
        <v>731</v>
      </c>
      <c r="B296" s="1" t="s">
        <v>167</v>
      </c>
      <c r="C296" s="1" t="s">
        <v>31</v>
      </c>
      <c r="D296" s="1">
        <v>45</v>
      </c>
      <c r="E296" s="1" t="s">
        <v>59</v>
      </c>
      <c r="F296" s="1" t="s">
        <v>60</v>
      </c>
      <c r="G296" s="1" t="s">
        <v>609</v>
      </c>
      <c r="H296" s="1">
        <v>8</v>
      </c>
      <c r="I296" s="1">
        <v>100744</v>
      </c>
      <c r="J296" s="1">
        <v>11082</v>
      </c>
      <c r="K296" s="1">
        <v>86</v>
      </c>
      <c r="L296" s="1" t="s">
        <v>40</v>
      </c>
      <c r="M296" s="1" t="s">
        <v>21</v>
      </c>
      <c r="N296" s="6" t="s">
        <v>22</v>
      </c>
    </row>
    <row r="297" spans="1:14" x14ac:dyDescent="0.3">
      <c r="A297" s="5" t="s">
        <v>732</v>
      </c>
      <c r="B297" s="1" t="s">
        <v>733</v>
      </c>
      <c r="C297" s="1" t="s">
        <v>31</v>
      </c>
      <c r="D297" s="1">
        <v>43</v>
      </c>
      <c r="E297" s="1" t="s">
        <v>25</v>
      </c>
      <c r="F297" s="1" t="s">
        <v>75</v>
      </c>
      <c r="G297" s="1" t="s">
        <v>734</v>
      </c>
      <c r="H297" s="1">
        <v>11</v>
      </c>
      <c r="I297" s="1">
        <v>29687</v>
      </c>
      <c r="J297" s="1">
        <v>5344</v>
      </c>
      <c r="K297" s="1">
        <v>88</v>
      </c>
      <c r="L297" s="1" t="s">
        <v>34</v>
      </c>
      <c r="M297" s="1" t="s">
        <v>21</v>
      </c>
      <c r="N297" s="6" t="s">
        <v>44</v>
      </c>
    </row>
    <row r="298" spans="1:14" x14ac:dyDescent="0.3">
      <c r="A298" s="5" t="s">
        <v>735</v>
      </c>
      <c r="B298" s="1" t="s">
        <v>330</v>
      </c>
      <c r="C298" s="1" t="s">
        <v>31</v>
      </c>
      <c r="D298" s="1">
        <v>49</v>
      </c>
      <c r="E298" s="1" t="s">
        <v>59</v>
      </c>
      <c r="F298" s="1" t="s">
        <v>18</v>
      </c>
      <c r="G298" s="1" t="s">
        <v>736</v>
      </c>
      <c r="H298" s="1">
        <v>14</v>
      </c>
      <c r="I298" s="1">
        <v>28693</v>
      </c>
      <c r="J298" s="1">
        <v>2582</v>
      </c>
      <c r="K298" s="1">
        <v>80</v>
      </c>
      <c r="L298" s="1" t="s">
        <v>69</v>
      </c>
      <c r="M298" s="1" t="s">
        <v>21</v>
      </c>
      <c r="N298" s="6" t="s">
        <v>50</v>
      </c>
    </row>
    <row r="299" spans="1:14" x14ac:dyDescent="0.3">
      <c r="A299" s="5" t="s">
        <v>737</v>
      </c>
      <c r="B299" s="1" t="s">
        <v>467</v>
      </c>
      <c r="C299" s="1" t="s">
        <v>16</v>
      </c>
      <c r="D299" s="1">
        <v>48</v>
      </c>
      <c r="E299" s="1" t="s">
        <v>47</v>
      </c>
      <c r="F299" s="1" t="s">
        <v>26</v>
      </c>
      <c r="G299" s="1" t="s">
        <v>738</v>
      </c>
      <c r="H299" s="1">
        <v>15</v>
      </c>
      <c r="I299" s="1">
        <v>34779</v>
      </c>
      <c r="J299" s="1">
        <v>6956</v>
      </c>
      <c r="K299" s="1">
        <v>83</v>
      </c>
      <c r="L299" s="1" t="s">
        <v>20</v>
      </c>
      <c r="M299" s="1" t="s">
        <v>21</v>
      </c>
      <c r="N299" s="6" t="s">
        <v>44</v>
      </c>
    </row>
    <row r="300" spans="1:14" x14ac:dyDescent="0.3">
      <c r="A300" s="5" t="s">
        <v>739</v>
      </c>
      <c r="B300" s="1" t="s">
        <v>345</v>
      </c>
      <c r="C300" s="1" t="s">
        <v>31</v>
      </c>
      <c r="D300" s="1">
        <v>28</v>
      </c>
      <c r="E300" s="1" t="s">
        <v>59</v>
      </c>
      <c r="F300" s="1" t="s">
        <v>60</v>
      </c>
      <c r="G300" s="1" t="s">
        <v>740</v>
      </c>
      <c r="H300" s="1">
        <v>3</v>
      </c>
      <c r="I300" s="1">
        <v>104821</v>
      </c>
      <c r="J300" s="1">
        <v>5241</v>
      </c>
      <c r="K300" s="1">
        <v>92</v>
      </c>
      <c r="L300" s="1" t="s">
        <v>34</v>
      </c>
      <c r="M300" s="1" t="s">
        <v>21</v>
      </c>
      <c r="N300" s="6" t="s">
        <v>28</v>
      </c>
    </row>
    <row r="301" spans="1:14" x14ac:dyDescent="0.3">
      <c r="A301" s="5" t="s">
        <v>741</v>
      </c>
      <c r="B301" s="1" t="s">
        <v>214</v>
      </c>
      <c r="C301" s="1" t="s">
        <v>31</v>
      </c>
      <c r="D301" s="1">
        <v>33</v>
      </c>
      <c r="E301" s="1" t="s">
        <v>25</v>
      </c>
      <c r="F301" s="1" t="s">
        <v>60</v>
      </c>
      <c r="G301" s="1" t="s">
        <v>742</v>
      </c>
      <c r="H301" s="1">
        <v>10</v>
      </c>
      <c r="I301" s="1">
        <v>48700</v>
      </c>
      <c r="J301" s="1">
        <v>8766</v>
      </c>
      <c r="K301" s="1">
        <v>100</v>
      </c>
      <c r="L301" s="1" t="s">
        <v>40</v>
      </c>
      <c r="M301" s="1" t="s">
        <v>21</v>
      </c>
      <c r="N301" s="6" t="s">
        <v>50</v>
      </c>
    </row>
    <row r="302" spans="1:14" x14ac:dyDescent="0.3">
      <c r="A302" s="5" t="s">
        <v>743</v>
      </c>
      <c r="B302" s="1" t="s">
        <v>597</v>
      </c>
      <c r="C302" s="1" t="s">
        <v>31</v>
      </c>
      <c r="D302" s="1">
        <v>26</v>
      </c>
      <c r="E302" s="1" t="s">
        <v>17</v>
      </c>
      <c r="F302" s="1" t="s">
        <v>48</v>
      </c>
      <c r="G302" s="1" t="s">
        <v>744</v>
      </c>
      <c r="H302" s="1">
        <v>1</v>
      </c>
      <c r="I302" s="1">
        <v>96826</v>
      </c>
      <c r="J302" s="1">
        <v>14524</v>
      </c>
      <c r="K302" s="1">
        <v>98</v>
      </c>
      <c r="L302" s="1" t="s">
        <v>69</v>
      </c>
      <c r="M302" s="1" t="s">
        <v>21</v>
      </c>
      <c r="N302" s="6" t="s">
        <v>44</v>
      </c>
    </row>
    <row r="303" spans="1:14" x14ac:dyDescent="0.3">
      <c r="A303" s="5" t="s">
        <v>745</v>
      </c>
      <c r="B303" s="1" t="s">
        <v>81</v>
      </c>
      <c r="C303" s="1" t="s">
        <v>31</v>
      </c>
      <c r="D303" s="1">
        <v>25</v>
      </c>
      <c r="E303" s="1" t="s">
        <v>17</v>
      </c>
      <c r="F303" s="1" t="s">
        <v>85</v>
      </c>
      <c r="G303" s="1" t="s">
        <v>746</v>
      </c>
      <c r="H303" s="1">
        <v>0</v>
      </c>
      <c r="I303" s="1">
        <v>111122</v>
      </c>
      <c r="J303" s="1">
        <v>20002</v>
      </c>
      <c r="K303" s="1">
        <v>84</v>
      </c>
      <c r="L303" s="1" t="s">
        <v>40</v>
      </c>
      <c r="M303" s="1" t="s">
        <v>21</v>
      </c>
      <c r="N303" s="6" t="s">
        <v>50</v>
      </c>
    </row>
    <row r="304" spans="1:14" x14ac:dyDescent="0.3">
      <c r="A304" s="5" t="s">
        <v>747</v>
      </c>
      <c r="B304" s="1" t="s">
        <v>433</v>
      </c>
      <c r="C304" s="1" t="s">
        <v>31</v>
      </c>
      <c r="D304" s="1">
        <v>25</v>
      </c>
      <c r="E304" s="1" t="s">
        <v>25</v>
      </c>
      <c r="F304" s="1" t="s">
        <v>85</v>
      </c>
      <c r="G304" s="1" t="s">
        <v>748</v>
      </c>
      <c r="H304" s="1">
        <v>8</v>
      </c>
      <c r="I304" s="1">
        <v>27182</v>
      </c>
      <c r="J304" s="1">
        <v>3534</v>
      </c>
      <c r="K304" s="1">
        <v>88</v>
      </c>
      <c r="L304" s="1" t="s">
        <v>40</v>
      </c>
      <c r="M304" s="1" t="s">
        <v>21</v>
      </c>
      <c r="N304" s="6" t="s">
        <v>35</v>
      </c>
    </row>
    <row r="305" spans="1:14" x14ac:dyDescent="0.3">
      <c r="A305" s="5" t="s">
        <v>749</v>
      </c>
      <c r="B305" s="1" t="s">
        <v>195</v>
      </c>
      <c r="C305" s="1" t="s">
        <v>16</v>
      </c>
      <c r="D305" s="1">
        <v>45</v>
      </c>
      <c r="E305" s="1" t="s">
        <v>59</v>
      </c>
      <c r="F305" s="1" t="s">
        <v>60</v>
      </c>
      <c r="G305" s="1" t="s">
        <v>750</v>
      </c>
      <c r="H305" s="1">
        <v>12</v>
      </c>
      <c r="I305" s="1">
        <v>33496</v>
      </c>
      <c r="J305" s="1">
        <v>2345</v>
      </c>
      <c r="K305" s="1">
        <v>99</v>
      </c>
      <c r="L305" s="1" t="s">
        <v>20</v>
      </c>
      <c r="M305" s="1" t="s">
        <v>117</v>
      </c>
      <c r="N305" s="6" t="s">
        <v>35</v>
      </c>
    </row>
    <row r="306" spans="1:14" x14ac:dyDescent="0.3">
      <c r="A306" s="5" t="s">
        <v>751</v>
      </c>
      <c r="B306" s="1" t="s">
        <v>475</v>
      </c>
      <c r="C306" s="1" t="s">
        <v>31</v>
      </c>
      <c r="D306" s="1">
        <v>22</v>
      </c>
      <c r="E306" s="1" t="s">
        <v>25</v>
      </c>
      <c r="F306" s="1" t="s">
        <v>75</v>
      </c>
      <c r="G306" s="1" t="s">
        <v>752</v>
      </c>
      <c r="H306" s="1">
        <v>7</v>
      </c>
      <c r="I306" s="1">
        <v>111235</v>
      </c>
      <c r="J306" s="1">
        <v>17798</v>
      </c>
      <c r="K306" s="1">
        <v>97</v>
      </c>
      <c r="L306" s="1" t="s">
        <v>40</v>
      </c>
      <c r="M306" s="1" t="s">
        <v>21</v>
      </c>
      <c r="N306" s="6" t="s">
        <v>35</v>
      </c>
    </row>
    <row r="307" spans="1:14" x14ac:dyDescent="0.3">
      <c r="A307" s="5" t="s">
        <v>753</v>
      </c>
      <c r="B307" s="1" t="s">
        <v>374</v>
      </c>
      <c r="C307" s="1" t="s">
        <v>31</v>
      </c>
      <c r="D307" s="1">
        <v>46</v>
      </c>
      <c r="E307" s="1" t="s">
        <v>47</v>
      </c>
      <c r="F307" s="1" t="s">
        <v>18</v>
      </c>
      <c r="G307" s="1" t="s">
        <v>754</v>
      </c>
      <c r="H307" s="1">
        <v>14</v>
      </c>
      <c r="I307" s="1">
        <v>34812</v>
      </c>
      <c r="J307" s="1">
        <v>6614</v>
      </c>
      <c r="K307" s="1">
        <v>86</v>
      </c>
      <c r="L307" s="1" t="s">
        <v>69</v>
      </c>
      <c r="M307" s="1" t="s">
        <v>21</v>
      </c>
      <c r="N307" s="6" t="s">
        <v>50</v>
      </c>
    </row>
    <row r="308" spans="1:14" x14ac:dyDescent="0.3">
      <c r="A308" s="5" t="s">
        <v>755</v>
      </c>
      <c r="B308" s="1" t="s">
        <v>588</v>
      </c>
      <c r="C308" s="1" t="s">
        <v>16</v>
      </c>
      <c r="D308" s="1">
        <v>42</v>
      </c>
      <c r="E308" s="1" t="s">
        <v>47</v>
      </c>
      <c r="F308" s="1" t="s">
        <v>85</v>
      </c>
      <c r="G308" s="1" t="s">
        <v>756</v>
      </c>
      <c r="H308" s="1">
        <v>7</v>
      </c>
      <c r="I308" s="1">
        <v>81542</v>
      </c>
      <c r="J308" s="1">
        <v>10600</v>
      </c>
      <c r="K308" s="1">
        <v>95</v>
      </c>
      <c r="L308" s="1" t="s">
        <v>20</v>
      </c>
      <c r="M308" s="1" t="s">
        <v>117</v>
      </c>
      <c r="N308" s="6" t="s">
        <v>35</v>
      </c>
    </row>
    <row r="309" spans="1:14" x14ac:dyDescent="0.3">
      <c r="A309" s="5" t="s">
        <v>757</v>
      </c>
      <c r="B309" s="1" t="s">
        <v>28</v>
      </c>
      <c r="C309" s="1" t="s">
        <v>31</v>
      </c>
      <c r="D309" s="1">
        <v>39</v>
      </c>
      <c r="E309" s="1" t="s">
        <v>38</v>
      </c>
      <c r="F309" s="1" t="s">
        <v>18</v>
      </c>
      <c r="G309" s="1" t="s">
        <v>758</v>
      </c>
      <c r="H309" s="1">
        <v>13</v>
      </c>
      <c r="I309" s="1">
        <v>58648</v>
      </c>
      <c r="J309" s="1">
        <v>7038</v>
      </c>
      <c r="K309" s="1">
        <v>85</v>
      </c>
      <c r="L309" s="1" t="s">
        <v>34</v>
      </c>
      <c r="M309" s="1" t="s">
        <v>21</v>
      </c>
      <c r="N309" s="6" t="s">
        <v>44</v>
      </c>
    </row>
    <row r="310" spans="1:14" x14ac:dyDescent="0.3">
      <c r="A310" s="5" t="s">
        <v>759</v>
      </c>
      <c r="B310" s="1" t="s">
        <v>467</v>
      </c>
      <c r="C310" s="1" t="s">
        <v>31</v>
      </c>
      <c r="D310" s="1">
        <v>43</v>
      </c>
      <c r="E310" s="1" t="s">
        <v>38</v>
      </c>
      <c r="F310" s="1" t="s">
        <v>60</v>
      </c>
      <c r="G310" s="1" t="s">
        <v>760</v>
      </c>
      <c r="H310" s="1">
        <v>3</v>
      </c>
      <c r="I310" s="1">
        <v>37752</v>
      </c>
      <c r="J310" s="1">
        <v>6795</v>
      </c>
      <c r="K310" s="1">
        <v>82</v>
      </c>
      <c r="L310" s="1" t="s">
        <v>34</v>
      </c>
      <c r="M310" s="1" t="s">
        <v>21</v>
      </c>
      <c r="N310" s="6" t="s">
        <v>28</v>
      </c>
    </row>
    <row r="311" spans="1:14" x14ac:dyDescent="0.3">
      <c r="A311" s="5" t="s">
        <v>761</v>
      </c>
      <c r="B311" s="1" t="s">
        <v>211</v>
      </c>
      <c r="C311" s="1" t="s">
        <v>31</v>
      </c>
      <c r="D311" s="1">
        <v>47</v>
      </c>
      <c r="E311" s="1" t="s">
        <v>32</v>
      </c>
      <c r="F311" s="1" t="s">
        <v>26</v>
      </c>
      <c r="G311" s="1" t="s">
        <v>762</v>
      </c>
      <c r="H311" s="1">
        <v>10</v>
      </c>
      <c r="I311" s="1">
        <v>82533</v>
      </c>
      <c r="J311" s="1">
        <v>5777</v>
      </c>
      <c r="K311" s="1">
        <v>86</v>
      </c>
      <c r="L311" s="1" t="s">
        <v>40</v>
      </c>
      <c r="M311" s="1" t="s">
        <v>21</v>
      </c>
      <c r="N311" s="6" t="s">
        <v>35</v>
      </c>
    </row>
    <row r="312" spans="1:14" x14ac:dyDescent="0.3">
      <c r="A312" s="5" t="s">
        <v>763</v>
      </c>
      <c r="B312" s="1" t="s">
        <v>124</v>
      </c>
      <c r="C312" s="1" t="s">
        <v>16</v>
      </c>
      <c r="D312" s="1">
        <v>24</v>
      </c>
      <c r="E312" s="1" t="s">
        <v>32</v>
      </c>
      <c r="F312" s="1" t="s">
        <v>26</v>
      </c>
      <c r="G312" s="1" t="s">
        <v>764</v>
      </c>
      <c r="H312" s="1">
        <v>2</v>
      </c>
      <c r="I312" s="1">
        <v>113498</v>
      </c>
      <c r="J312" s="1">
        <v>9080</v>
      </c>
      <c r="K312" s="1">
        <v>92</v>
      </c>
      <c r="L312" s="1" t="s">
        <v>34</v>
      </c>
      <c r="M312" s="1" t="s">
        <v>21</v>
      </c>
      <c r="N312" s="6" t="s">
        <v>35</v>
      </c>
    </row>
    <row r="313" spans="1:14" x14ac:dyDescent="0.3">
      <c r="A313" s="5" t="s">
        <v>765</v>
      </c>
      <c r="B313" s="1" t="s">
        <v>766</v>
      </c>
      <c r="C313" s="1" t="s">
        <v>16</v>
      </c>
      <c r="D313" s="1">
        <v>24</v>
      </c>
      <c r="E313" s="1" t="s">
        <v>32</v>
      </c>
      <c r="F313" s="1" t="s">
        <v>60</v>
      </c>
      <c r="G313" s="1" t="s">
        <v>767</v>
      </c>
      <c r="H313" s="1">
        <v>1</v>
      </c>
      <c r="I313" s="1">
        <v>34873</v>
      </c>
      <c r="J313" s="1">
        <v>3487</v>
      </c>
      <c r="K313" s="1">
        <v>89</v>
      </c>
      <c r="L313" s="1" t="s">
        <v>40</v>
      </c>
      <c r="M313" s="1" t="s">
        <v>21</v>
      </c>
      <c r="N313" s="6" t="s">
        <v>28</v>
      </c>
    </row>
    <row r="314" spans="1:14" x14ac:dyDescent="0.3">
      <c r="A314" s="5" t="s">
        <v>768</v>
      </c>
      <c r="B314" s="1" t="s">
        <v>554</v>
      </c>
      <c r="C314" s="1" t="s">
        <v>31</v>
      </c>
      <c r="D314" s="1">
        <v>32</v>
      </c>
      <c r="E314" s="1" t="s">
        <v>47</v>
      </c>
      <c r="F314" s="1" t="s">
        <v>48</v>
      </c>
      <c r="G314" s="1" t="s">
        <v>769</v>
      </c>
      <c r="H314" s="1">
        <v>8</v>
      </c>
      <c r="I314" s="1">
        <v>74996</v>
      </c>
      <c r="J314" s="1">
        <v>9000</v>
      </c>
      <c r="K314" s="1">
        <v>85</v>
      </c>
      <c r="L314" s="1" t="s">
        <v>34</v>
      </c>
      <c r="M314" s="1" t="s">
        <v>21</v>
      </c>
      <c r="N314" s="6" t="s">
        <v>35</v>
      </c>
    </row>
    <row r="315" spans="1:14" x14ac:dyDescent="0.3">
      <c r="A315" s="5" t="s">
        <v>770</v>
      </c>
      <c r="B315" s="1" t="s">
        <v>382</v>
      </c>
      <c r="C315" s="1" t="s">
        <v>16</v>
      </c>
      <c r="D315" s="1">
        <v>34</v>
      </c>
      <c r="E315" s="1" t="s">
        <v>47</v>
      </c>
      <c r="F315" s="1" t="s">
        <v>26</v>
      </c>
      <c r="G315" s="1" t="s">
        <v>771</v>
      </c>
      <c r="H315" s="1">
        <v>9</v>
      </c>
      <c r="I315" s="1">
        <v>60265</v>
      </c>
      <c r="J315" s="1">
        <v>10848</v>
      </c>
      <c r="K315" s="1">
        <v>97</v>
      </c>
      <c r="L315" s="1" t="s">
        <v>34</v>
      </c>
      <c r="M315" s="1" t="s">
        <v>21</v>
      </c>
      <c r="N315" s="6" t="s">
        <v>22</v>
      </c>
    </row>
    <row r="316" spans="1:14" x14ac:dyDescent="0.3">
      <c r="A316" s="5" t="s">
        <v>772</v>
      </c>
      <c r="B316" s="1" t="s">
        <v>263</v>
      </c>
      <c r="C316" s="1" t="s">
        <v>31</v>
      </c>
      <c r="D316" s="1">
        <v>38</v>
      </c>
      <c r="E316" s="1" t="s">
        <v>59</v>
      </c>
      <c r="F316" s="1" t="s">
        <v>18</v>
      </c>
      <c r="G316" s="1" t="s">
        <v>773</v>
      </c>
      <c r="H316" s="1">
        <v>5</v>
      </c>
      <c r="I316" s="1">
        <v>73380</v>
      </c>
      <c r="J316" s="1">
        <v>8806</v>
      </c>
      <c r="K316" s="1">
        <v>95</v>
      </c>
      <c r="L316" s="1" t="s">
        <v>69</v>
      </c>
      <c r="M316" s="1" t="s">
        <v>21</v>
      </c>
      <c r="N316" s="6" t="s">
        <v>50</v>
      </c>
    </row>
    <row r="317" spans="1:14" x14ac:dyDescent="0.3">
      <c r="A317" s="5" t="s">
        <v>774</v>
      </c>
      <c r="B317" s="1" t="s">
        <v>263</v>
      </c>
      <c r="C317" s="1" t="s">
        <v>16</v>
      </c>
      <c r="D317" s="1">
        <v>36</v>
      </c>
      <c r="E317" s="1" t="s">
        <v>59</v>
      </c>
      <c r="F317" s="1" t="s">
        <v>85</v>
      </c>
      <c r="G317" s="1" t="s">
        <v>775</v>
      </c>
      <c r="H317" s="1">
        <v>1</v>
      </c>
      <c r="I317" s="1">
        <v>83185</v>
      </c>
      <c r="J317" s="1">
        <v>15805</v>
      </c>
      <c r="K317" s="1">
        <v>86</v>
      </c>
      <c r="L317" s="1" t="s">
        <v>69</v>
      </c>
      <c r="M317" s="1" t="s">
        <v>21</v>
      </c>
      <c r="N317" s="6" t="s">
        <v>44</v>
      </c>
    </row>
    <row r="318" spans="1:14" x14ac:dyDescent="0.3">
      <c r="A318" s="5" t="s">
        <v>776</v>
      </c>
      <c r="B318" s="1" t="s">
        <v>50</v>
      </c>
      <c r="C318" s="1" t="s">
        <v>16</v>
      </c>
      <c r="D318" s="1">
        <v>24</v>
      </c>
      <c r="E318" s="1" t="s">
        <v>25</v>
      </c>
      <c r="F318" s="1" t="s">
        <v>85</v>
      </c>
      <c r="G318" s="1" t="s">
        <v>777</v>
      </c>
      <c r="H318" s="1">
        <v>4</v>
      </c>
      <c r="I318" s="1">
        <v>45412</v>
      </c>
      <c r="J318" s="1">
        <v>7720</v>
      </c>
      <c r="K318" s="1">
        <v>94</v>
      </c>
      <c r="L318" s="1" t="s">
        <v>40</v>
      </c>
      <c r="M318" s="1" t="s">
        <v>21</v>
      </c>
      <c r="N318" s="6" t="s">
        <v>44</v>
      </c>
    </row>
    <row r="319" spans="1:14" x14ac:dyDescent="0.3">
      <c r="A319" s="5" t="s">
        <v>778</v>
      </c>
      <c r="B319" s="1" t="s">
        <v>319</v>
      </c>
      <c r="C319" s="1" t="s">
        <v>16</v>
      </c>
      <c r="D319" s="1">
        <v>47</v>
      </c>
      <c r="E319" s="1" t="s">
        <v>17</v>
      </c>
      <c r="F319" s="1" t="s">
        <v>60</v>
      </c>
      <c r="G319" s="1" t="s">
        <v>779</v>
      </c>
      <c r="H319" s="1">
        <v>2</v>
      </c>
      <c r="I319" s="1">
        <v>41579</v>
      </c>
      <c r="J319" s="1">
        <v>3326</v>
      </c>
      <c r="K319" s="1">
        <v>92</v>
      </c>
      <c r="L319" s="1" t="s">
        <v>34</v>
      </c>
      <c r="M319" s="1" t="s">
        <v>21</v>
      </c>
      <c r="N319" s="6" t="s">
        <v>50</v>
      </c>
    </row>
    <row r="320" spans="1:14" x14ac:dyDescent="0.3">
      <c r="A320" s="5" t="s">
        <v>780</v>
      </c>
      <c r="B320" s="1" t="s">
        <v>565</v>
      </c>
      <c r="C320" s="1" t="s">
        <v>16</v>
      </c>
      <c r="D320" s="1">
        <v>23</v>
      </c>
      <c r="E320" s="1" t="s">
        <v>25</v>
      </c>
      <c r="F320" s="1" t="s">
        <v>75</v>
      </c>
      <c r="G320" s="1" t="s">
        <v>781</v>
      </c>
      <c r="H320" s="1">
        <v>12</v>
      </c>
      <c r="I320" s="1">
        <v>116032</v>
      </c>
      <c r="J320" s="1">
        <v>8122</v>
      </c>
      <c r="K320" s="1">
        <v>99</v>
      </c>
      <c r="L320" s="1" t="s">
        <v>40</v>
      </c>
      <c r="M320" s="1" t="s">
        <v>21</v>
      </c>
      <c r="N320" s="6" t="s">
        <v>50</v>
      </c>
    </row>
    <row r="321" spans="1:14" x14ac:dyDescent="0.3">
      <c r="A321" s="5" t="s">
        <v>782</v>
      </c>
      <c r="B321" s="1" t="s">
        <v>398</v>
      </c>
      <c r="C321" s="1" t="s">
        <v>16</v>
      </c>
      <c r="D321" s="1">
        <v>27</v>
      </c>
      <c r="E321" s="1" t="s">
        <v>59</v>
      </c>
      <c r="F321" s="1" t="s">
        <v>75</v>
      </c>
      <c r="G321" s="1" t="s">
        <v>499</v>
      </c>
      <c r="H321" s="1">
        <v>9</v>
      </c>
      <c r="I321" s="1">
        <v>57761</v>
      </c>
      <c r="J321" s="1">
        <v>6931</v>
      </c>
      <c r="K321" s="1">
        <v>84</v>
      </c>
      <c r="L321" s="1" t="s">
        <v>34</v>
      </c>
      <c r="M321" s="1" t="s">
        <v>21</v>
      </c>
      <c r="N321" s="6" t="s">
        <v>44</v>
      </c>
    </row>
    <row r="322" spans="1:14" x14ac:dyDescent="0.3">
      <c r="A322" s="5" t="s">
        <v>783</v>
      </c>
      <c r="B322" s="1" t="s">
        <v>55</v>
      </c>
      <c r="C322" s="1" t="s">
        <v>31</v>
      </c>
      <c r="D322" s="1">
        <v>36</v>
      </c>
      <c r="E322" s="1" t="s">
        <v>17</v>
      </c>
      <c r="F322" s="1" t="s">
        <v>60</v>
      </c>
      <c r="G322" s="1" t="s">
        <v>784</v>
      </c>
      <c r="H322" s="1">
        <v>4</v>
      </c>
      <c r="I322" s="1">
        <v>40008</v>
      </c>
      <c r="J322" s="1">
        <v>2000</v>
      </c>
      <c r="K322" s="1">
        <v>84</v>
      </c>
      <c r="L322" s="1" t="s">
        <v>69</v>
      </c>
      <c r="M322" s="1" t="s">
        <v>21</v>
      </c>
      <c r="N322" s="6" t="s">
        <v>35</v>
      </c>
    </row>
    <row r="323" spans="1:14" x14ac:dyDescent="0.3">
      <c r="A323" s="5" t="s">
        <v>785</v>
      </c>
      <c r="B323" s="1" t="s">
        <v>786</v>
      </c>
      <c r="C323" s="1" t="s">
        <v>31</v>
      </c>
      <c r="D323" s="1">
        <v>40</v>
      </c>
      <c r="E323" s="1" t="s">
        <v>25</v>
      </c>
      <c r="F323" s="1" t="s">
        <v>48</v>
      </c>
      <c r="G323" s="1" t="s">
        <v>787</v>
      </c>
      <c r="H323" s="1">
        <v>5</v>
      </c>
      <c r="I323" s="1">
        <v>111054</v>
      </c>
      <c r="J323" s="1">
        <v>14437</v>
      </c>
      <c r="K323" s="1">
        <v>100</v>
      </c>
      <c r="L323" s="1" t="s">
        <v>40</v>
      </c>
      <c r="M323" s="1" t="s">
        <v>21</v>
      </c>
      <c r="N323" s="6" t="s">
        <v>50</v>
      </c>
    </row>
    <row r="324" spans="1:14" x14ac:dyDescent="0.3">
      <c r="A324" s="5" t="s">
        <v>788</v>
      </c>
      <c r="B324" s="1" t="s">
        <v>35</v>
      </c>
      <c r="C324" s="1" t="s">
        <v>31</v>
      </c>
      <c r="D324" s="1">
        <v>26</v>
      </c>
      <c r="E324" s="1" t="s">
        <v>17</v>
      </c>
      <c r="F324" s="1" t="s">
        <v>85</v>
      </c>
      <c r="G324" s="1" t="s">
        <v>789</v>
      </c>
      <c r="H324" s="1">
        <v>0</v>
      </c>
      <c r="I324" s="1">
        <v>38728</v>
      </c>
      <c r="J324" s="1">
        <v>3486</v>
      </c>
      <c r="K324" s="1">
        <v>76</v>
      </c>
      <c r="L324" s="1" t="s">
        <v>20</v>
      </c>
      <c r="M324" s="1" t="s">
        <v>21</v>
      </c>
      <c r="N324" s="6" t="s">
        <v>22</v>
      </c>
    </row>
    <row r="325" spans="1:14" x14ac:dyDescent="0.3">
      <c r="A325" s="5" t="s">
        <v>790</v>
      </c>
      <c r="B325" s="1" t="s">
        <v>791</v>
      </c>
      <c r="C325" s="1" t="s">
        <v>31</v>
      </c>
      <c r="D325" s="1">
        <v>46</v>
      </c>
      <c r="E325" s="1" t="s">
        <v>47</v>
      </c>
      <c r="F325" s="1" t="s">
        <v>75</v>
      </c>
      <c r="G325" s="1" t="s">
        <v>792</v>
      </c>
      <c r="H325" s="1">
        <v>12</v>
      </c>
      <c r="I325" s="1">
        <v>46360</v>
      </c>
      <c r="J325" s="1">
        <v>8345</v>
      </c>
      <c r="K325" s="1">
        <v>82</v>
      </c>
      <c r="L325" s="1" t="s">
        <v>40</v>
      </c>
      <c r="M325" s="1" t="s">
        <v>21</v>
      </c>
      <c r="N325" s="6" t="s">
        <v>28</v>
      </c>
    </row>
    <row r="326" spans="1:14" x14ac:dyDescent="0.3">
      <c r="A326" s="5" t="s">
        <v>793</v>
      </c>
      <c r="B326" s="1" t="s">
        <v>251</v>
      </c>
      <c r="C326" s="1" t="s">
        <v>31</v>
      </c>
      <c r="D326" s="1">
        <v>43</v>
      </c>
      <c r="E326" s="1" t="s">
        <v>32</v>
      </c>
      <c r="F326" s="1" t="s">
        <v>48</v>
      </c>
      <c r="G326" s="1" t="s">
        <v>794</v>
      </c>
      <c r="H326" s="1">
        <v>0</v>
      </c>
      <c r="I326" s="1">
        <v>42041</v>
      </c>
      <c r="J326" s="1">
        <v>5465</v>
      </c>
      <c r="K326" s="1">
        <v>82</v>
      </c>
      <c r="L326" s="1" t="s">
        <v>20</v>
      </c>
      <c r="M326" s="1" t="s">
        <v>21</v>
      </c>
      <c r="N326" s="6" t="s">
        <v>22</v>
      </c>
    </row>
    <row r="327" spans="1:14" x14ac:dyDescent="0.3">
      <c r="A327" s="5" t="s">
        <v>795</v>
      </c>
      <c r="B327" s="1" t="s">
        <v>167</v>
      </c>
      <c r="C327" s="1" t="s">
        <v>16</v>
      </c>
      <c r="D327" s="1">
        <v>40</v>
      </c>
      <c r="E327" s="1" t="s">
        <v>47</v>
      </c>
      <c r="F327" s="1" t="s">
        <v>75</v>
      </c>
      <c r="G327" s="1" t="s">
        <v>143</v>
      </c>
      <c r="H327" s="1">
        <v>11</v>
      </c>
      <c r="I327" s="1">
        <v>54613</v>
      </c>
      <c r="J327" s="1">
        <v>3277</v>
      </c>
      <c r="K327" s="1">
        <v>87</v>
      </c>
      <c r="L327" s="1" t="s">
        <v>40</v>
      </c>
      <c r="M327" s="1" t="s">
        <v>21</v>
      </c>
      <c r="N327" s="6" t="s">
        <v>22</v>
      </c>
    </row>
    <row r="328" spans="1:14" x14ac:dyDescent="0.3">
      <c r="A328" s="5" t="s">
        <v>796</v>
      </c>
      <c r="B328" s="1" t="s">
        <v>28</v>
      </c>
      <c r="C328" s="1" t="s">
        <v>31</v>
      </c>
      <c r="D328" s="1">
        <v>41</v>
      </c>
      <c r="E328" s="1" t="s">
        <v>25</v>
      </c>
      <c r="F328" s="1" t="s">
        <v>60</v>
      </c>
      <c r="G328" s="1" t="s">
        <v>797</v>
      </c>
      <c r="H328" s="1">
        <v>7</v>
      </c>
      <c r="I328" s="1">
        <v>91143</v>
      </c>
      <c r="J328" s="1">
        <v>15494</v>
      </c>
      <c r="K328" s="1">
        <v>93</v>
      </c>
      <c r="L328" s="1" t="s">
        <v>34</v>
      </c>
      <c r="M328" s="1" t="s">
        <v>21</v>
      </c>
      <c r="N328" s="6" t="s">
        <v>50</v>
      </c>
    </row>
    <row r="329" spans="1:14" x14ac:dyDescent="0.3">
      <c r="A329" s="5" t="s">
        <v>798</v>
      </c>
      <c r="B329" s="1" t="s">
        <v>52</v>
      </c>
      <c r="C329" s="1" t="s">
        <v>31</v>
      </c>
      <c r="D329" s="1">
        <v>37</v>
      </c>
      <c r="E329" s="1" t="s">
        <v>38</v>
      </c>
      <c r="F329" s="1" t="s">
        <v>85</v>
      </c>
      <c r="G329" s="1" t="s">
        <v>799</v>
      </c>
      <c r="H329" s="1">
        <v>7</v>
      </c>
      <c r="I329" s="1">
        <v>46973</v>
      </c>
      <c r="J329" s="1">
        <v>5637</v>
      </c>
      <c r="K329" s="1">
        <v>75</v>
      </c>
      <c r="L329" s="1" t="s">
        <v>34</v>
      </c>
      <c r="M329" s="1" t="s">
        <v>21</v>
      </c>
      <c r="N329" s="6" t="s">
        <v>50</v>
      </c>
    </row>
    <row r="330" spans="1:14" x14ac:dyDescent="0.3">
      <c r="A330" s="5" t="s">
        <v>800</v>
      </c>
      <c r="B330" s="1" t="s">
        <v>494</v>
      </c>
      <c r="C330" s="1" t="s">
        <v>31</v>
      </c>
      <c r="D330" s="1">
        <v>50</v>
      </c>
      <c r="E330" s="1" t="s">
        <v>17</v>
      </c>
      <c r="F330" s="1" t="s">
        <v>75</v>
      </c>
      <c r="G330" s="1" t="s">
        <v>801</v>
      </c>
      <c r="H330" s="1">
        <v>15</v>
      </c>
      <c r="I330" s="1">
        <v>95457</v>
      </c>
      <c r="J330" s="1">
        <v>6682</v>
      </c>
      <c r="K330" s="1">
        <v>91</v>
      </c>
      <c r="L330" s="1" t="s">
        <v>69</v>
      </c>
      <c r="M330" s="1" t="s">
        <v>21</v>
      </c>
      <c r="N330" s="6" t="s">
        <v>50</v>
      </c>
    </row>
    <row r="331" spans="1:14" x14ac:dyDescent="0.3">
      <c r="A331" s="5" t="s">
        <v>802</v>
      </c>
      <c r="B331" s="1" t="s">
        <v>78</v>
      </c>
      <c r="C331" s="1" t="s">
        <v>16</v>
      </c>
      <c r="D331" s="1">
        <v>40</v>
      </c>
      <c r="E331" s="1" t="s">
        <v>47</v>
      </c>
      <c r="F331" s="1" t="s">
        <v>85</v>
      </c>
      <c r="G331" s="1" t="s">
        <v>803</v>
      </c>
      <c r="H331" s="1">
        <v>9</v>
      </c>
      <c r="I331" s="1">
        <v>56586</v>
      </c>
      <c r="J331" s="1">
        <v>3961</v>
      </c>
      <c r="K331" s="1">
        <v>100</v>
      </c>
      <c r="L331" s="1" t="s">
        <v>69</v>
      </c>
      <c r="M331" s="1" t="s">
        <v>21</v>
      </c>
      <c r="N331" s="6" t="s">
        <v>50</v>
      </c>
    </row>
    <row r="332" spans="1:14" x14ac:dyDescent="0.3">
      <c r="A332" s="5" t="s">
        <v>804</v>
      </c>
      <c r="B332" s="1" t="s">
        <v>423</v>
      </c>
      <c r="C332" s="1" t="s">
        <v>31</v>
      </c>
      <c r="D332" s="1">
        <v>35</v>
      </c>
      <c r="E332" s="1" t="s">
        <v>47</v>
      </c>
      <c r="F332" s="1" t="s">
        <v>18</v>
      </c>
      <c r="G332" s="1" t="s">
        <v>805</v>
      </c>
      <c r="H332" s="1">
        <v>11</v>
      </c>
      <c r="I332" s="1">
        <v>34611</v>
      </c>
      <c r="J332" s="1">
        <v>5192</v>
      </c>
      <c r="K332" s="1">
        <v>99</v>
      </c>
      <c r="L332" s="1" t="s">
        <v>20</v>
      </c>
      <c r="M332" s="1" t="s">
        <v>117</v>
      </c>
      <c r="N332" s="6" t="s">
        <v>50</v>
      </c>
    </row>
    <row r="333" spans="1:14" x14ac:dyDescent="0.3">
      <c r="A333" s="5" t="s">
        <v>806</v>
      </c>
      <c r="B333" s="1" t="s">
        <v>348</v>
      </c>
      <c r="C333" s="1" t="s">
        <v>31</v>
      </c>
      <c r="D333" s="1">
        <v>23</v>
      </c>
      <c r="E333" s="1" t="s">
        <v>25</v>
      </c>
      <c r="F333" s="1" t="s">
        <v>67</v>
      </c>
      <c r="G333" s="1" t="s">
        <v>807</v>
      </c>
      <c r="H333" s="1">
        <v>12</v>
      </c>
      <c r="I333" s="1">
        <v>72459</v>
      </c>
      <c r="J333" s="1">
        <v>14492</v>
      </c>
      <c r="K333" s="1">
        <v>91</v>
      </c>
      <c r="L333" s="1" t="s">
        <v>69</v>
      </c>
      <c r="M333" s="1" t="s">
        <v>21</v>
      </c>
      <c r="N333" s="6" t="s">
        <v>22</v>
      </c>
    </row>
    <row r="334" spans="1:14" x14ac:dyDescent="0.3">
      <c r="A334" s="5" t="s">
        <v>808</v>
      </c>
      <c r="B334" s="1" t="s">
        <v>300</v>
      </c>
      <c r="C334" s="1" t="s">
        <v>31</v>
      </c>
      <c r="D334" s="1">
        <v>29</v>
      </c>
      <c r="E334" s="1" t="s">
        <v>17</v>
      </c>
      <c r="F334" s="1" t="s">
        <v>18</v>
      </c>
      <c r="G334" s="1" t="s">
        <v>809</v>
      </c>
      <c r="H334" s="1">
        <v>2</v>
      </c>
      <c r="I334" s="1">
        <v>66928</v>
      </c>
      <c r="J334" s="1">
        <v>8031</v>
      </c>
      <c r="K334" s="1">
        <v>89</v>
      </c>
      <c r="L334" s="1" t="s">
        <v>40</v>
      </c>
      <c r="M334" s="1" t="s">
        <v>21</v>
      </c>
      <c r="N334" s="6" t="s">
        <v>50</v>
      </c>
    </row>
    <row r="335" spans="1:14" x14ac:dyDescent="0.3">
      <c r="A335" s="5" t="s">
        <v>810</v>
      </c>
      <c r="B335" s="1" t="s">
        <v>145</v>
      </c>
      <c r="C335" s="1" t="s">
        <v>16</v>
      </c>
      <c r="D335" s="1">
        <v>50</v>
      </c>
      <c r="E335" s="1" t="s">
        <v>59</v>
      </c>
      <c r="F335" s="1" t="s">
        <v>85</v>
      </c>
      <c r="G335" s="1" t="s">
        <v>811</v>
      </c>
      <c r="H335" s="1">
        <v>6</v>
      </c>
      <c r="I335" s="1">
        <v>113364</v>
      </c>
      <c r="J335" s="1">
        <v>11336</v>
      </c>
      <c r="K335" s="1">
        <v>77</v>
      </c>
      <c r="L335" s="1" t="s">
        <v>40</v>
      </c>
      <c r="M335" s="1" t="s">
        <v>21</v>
      </c>
      <c r="N335" s="6" t="s">
        <v>35</v>
      </c>
    </row>
    <row r="336" spans="1:14" x14ac:dyDescent="0.3">
      <c r="A336" s="5" t="s">
        <v>812</v>
      </c>
      <c r="B336" s="1" t="s">
        <v>260</v>
      </c>
      <c r="C336" s="1" t="s">
        <v>16</v>
      </c>
      <c r="D336" s="1">
        <v>30</v>
      </c>
      <c r="E336" s="1" t="s">
        <v>59</v>
      </c>
      <c r="F336" s="1" t="s">
        <v>67</v>
      </c>
      <c r="G336" s="1" t="s">
        <v>813</v>
      </c>
      <c r="H336" s="1">
        <v>9</v>
      </c>
      <c r="I336" s="1">
        <v>40094</v>
      </c>
      <c r="J336" s="1">
        <v>3608</v>
      </c>
      <c r="K336" s="1">
        <v>89</v>
      </c>
      <c r="L336" s="1" t="s">
        <v>40</v>
      </c>
      <c r="M336" s="1" t="s">
        <v>21</v>
      </c>
      <c r="N336" s="6" t="s">
        <v>22</v>
      </c>
    </row>
    <row r="337" spans="1:14" x14ac:dyDescent="0.3">
      <c r="A337" s="5" t="s">
        <v>814</v>
      </c>
      <c r="B337" s="1" t="s">
        <v>164</v>
      </c>
      <c r="C337" s="1" t="s">
        <v>31</v>
      </c>
      <c r="D337" s="1">
        <v>35</v>
      </c>
      <c r="E337" s="1" t="s">
        <v>38</v>
      </c>
      <c r="F337" s="1" t="s">
        <v>48</v>
      </c>
      <c r="G337" s="1" t="s">
        <v>815</v>
      </c>
      <c r="H337" s="1">
        <v>15</v>
      </c>
      <c r="I337" s="1">
        <v>55218</v>
      </c>
      <c r="J337" s="1">
        <v>8283</v>
      </c>
      <c r="K337" s="1">
        <v>99</v>
      </c>
      <c r="L337" s="1" t="s">
        <v>40</v>
      </c>
      <c r="M337" s="1" t="s">
        <v>21</v>
      </c>
      <c r="N337" s="6" t="s">
        <v>28</v>
      </c>
    </row>
    <row r="338" spans="1:14" x14ac:dyDescent="0.3">
      <c r="A338" s="5" t="s">
        <v>816</v>
      </c>
      <c r="B338" s="1" t="s">
        <v>817</v>
      </c>
      <c r="C338" s="1" t="s">
        <v>16</v>
      </c>
      <c r="D338" s="1">
        <v>45</v>
      </c>
      <c r="E338" s="1" t="s">
        <v>59</v>
      </c>
      <c r="F338" s="1" t="s">
        <v>48</v>
      </c>
      <c r="G338" s="1" t="s">
        <v>818</v>
      </c>
      <c r="H338" s="1">
        <v>1</v>
      </c>
      <c r="I338" s="1">
        <v>70633</v>
      </c>
      <c r="J338" s="1">
        <v>7063</v>
      </c>
      <c r="K338" s="1">
        <v>90</v>
      </c>
      <c r="L338" s="1" t="s">
        <v>20</v>
      </c>
      <c r="M338" s="1" t="s">
        <v>21</v>
      </c>
      <c r="N338" s="6" t="s">
        <v>44</v>
      </c>
    </row>
    <row r="339" spans="1:14" x14ac:dyDescent="0.3">
      <c r="A339" s="5" t="s">
        <v>819</v>
      </c>
      <c r="B339" s="1" t="s">
        <v>820</v>
      </c>
      <c r="C339" s="1" t="s">
        <v>16</v>
      </c>
      <c r="D339" s="1">
        <v>37</v>
      </c>
      <c r="E339" s="1" t="s">
        <v>17</v>
      </c>
      <c r="F339" s="1" t="s">
        <v>48</v>
      </c>
      <c r="G339" s="1" t="s">
        <v>821</v>
      </c>
      <c r="H339" s="1">
        <v>9</v>
      </c>
      <c r="I339" s="1">
        <v>114964</v>
      </c>
      <c r="J339" s="1">
        <v>21843</v>
      </c>
      <c r="K339" s="1">
        <v>77</v>
      </c>
      <c r="L339" s="1" t="s">
        <v>34</v>
      </c>
      <c r="M339" s="1" t="s">
        <v>21</v>
      </c>
      <c r="N339" s="6" t="s">
        <v>50</v>
      </c>
    </row>
    <row r="340" spans="1:14" x14ac:dyDescent="0.3">
      <c r="A340" s="5" t="s">
        <v>822</v>
      </c>
      <c r="B340" s="1" t="s">
        <v>30</v>
      </c>
      <c r="C340" s="1" t="s">
        <v>31</v>
      </c>
      <c r="D340" s="1">
        <v>40</v>
      </c>
      <c r="E340" s="1" t="s">
        <v>47</v>
      </c>
      <c r="F340" s="1" t="s">
        <v>75</v>
      </c>
      <c r="G340" s="1" t="s">
        <v>823</v>
      </c>
      <c r="H340" s="1">
        <v>7</v>
      </c>
      <c r="I340" s="1">
        <v>70694</v>
      </c>
      <c r="J340" s="1">
        <v>5656</v>
      </c>
      <c r="K340" s="1">
        <v>100</v>
      </c>
      <c r="L340" s="1" t="s">
        <v>69</v>
      </c>
      <c r="M340" s="1" t="s">
        <v>21</v>
      </c>
      <c r="N340" s="6" t="s">
        <v>22</v>
      </c>
    </row>
    <row r="341" spans="1:14" x14ac:dyDescent="0.3">
      <c r="A341" s="5" t="s">
        <v>824</v>
      </c>
      <c r="B341" s="1" t="s">
        <v>825</v>
      </c>
      <c r="C341" s="1" t="s">
        <v>16</v>
      </c>
      <c r="D341" s="1">
        <v>41</v>
      </c>
      <c r="E341" s="1" t="s">
        <v>32</v>
      </c>
      <c r="F341" s="1" t="s">
        <v>67</v>
      </c>
      <c r="G341" s="1" t="s">
        <v>826</v>
      </c>
      <c r="H341" s="1">
        <v>7</v>
      </c>
      <c r="I341" s="1">
        <v>109784</v>
      </c>
      <c r="J341" s="1">
        <v>16468</v>
      </c>
      <c r="K341" s="1">
        <v>81</v>
      </c>
      <c r="L341" s="1" t="s">
        <v>20</v>
      </c>
      <c r="M341" s="1" t="s">
        <v>21</v>
      </c>
      <c r="N341" s="6" t="s">
        <v>35</v>
      </c>
    </row>
    <row r="342" spans="1:14" x14ac:dyDescent="0.3">
      <c r="A342" s="5" t="s">
        <v>827</v>
      </c>
      <c r="B342" s="1" t="s">
        <v>410</v>
      </c>
      <c r="C342" s="1" t="s">
        <v>16</v>
      </c>
      <c r="D342" s="1">
        <v>25</v>
      </c>
      <c r="E342" s="1" t="s">
        <v>59</v>
      </c>
      <c r="F342" s="1" t="s">
        <v>75</v>
      </c>
      <c r="G342" s="1" t="s">
        <v>828</v>
      </c>
      <c r="H342" s="1">
        <v>3</v>
      </c>
      <c r="I342" s="1">
        <v>105400</v>
      </c>
      <c r="J342" s="1">
        <v>18972</v>
      </c>
      <c r="K342" s="1">
        <v>80</v>
      </c>
      <c r="L342" s="1" t="s">
        <v>69</v>
      </c>
      <c r="M342" s="1" t="s">
        <v>21</v>
      </c>
      <c r="N342" s="6" t="s">
        <v>35</v>
      </c>
    </row>
    <row r="343" spans="1:14" x14ac:dyDescent="0.3">
      <c r="A343" s="5" t="s">
        <v>829</v>
      </c>
      <c r="B343" s="1" t="s">
        <v>766</v>
      </c>
      <c r="C343" s="1" t="s">
        <v>16</v>
      </c>
      <c r="D343" s="1">
        <v>45</v>
      </c>
      <c r="E343" s="1" t="s">
        <v>59</v>
      </c>
      <c r="F343" s="1" t="s">
        <v>60</v>
      </c>
      <c r="G343" s="1" t="s">
        <v>830</v>
      </c>
      <c r="H343" s="1">
        <v>1</v>
      </c>
      <c r="I343" s="1">
        <v>91620</v>
      </c>
      <c r="J343" s="1">
        <v>17408</v>
      </c>
      <c r="K343" s="1">
        <v>75</v>
      </c>
      <c r="L343" s="1" t="s">
        <v>20</v>
      </c>
      <c r="M343" s="1" t="s">
        <v>21</v>
      </c>
      <c r="N343" s="6" t="s">
        <v>28</v>
      </c>
    </row>
    <row r="344" spans="1:14" x14ac:dyDescent="0.3">
      <c r="A344" s="5" t="s">
        <v>831</v>
      </c>
      <c r="B344" s="1" t="s">
        <v>327</v>
      </c>
      <c r="C344" s="1" t="s">
        <v>31</v>
      </c>
      <c r="D344" s="1">
        <v>36</v>
      </c>
      <c r="E344" s="1" t="s">
        <v>32</v>
      </c>
      <c r="F344" s="1" t="s">
        <v>75</v>
      </c>
      <c r="G344" s="1" t="s">
        <v>832</v>
      </c>
      <c r="H344" s="1">
        <v>9</v>
      </c>
      <c r="I344" s="1">
        <v>63563</v>
      </c>
      <c r="J344" s="1">
        <v>4449</v>
      </c>
      <c r="K344" s="1">
        <v>81</v>
      </c>
      <c r="L344" s="1" t="s">
        <v>20</v>
      </c>
      <c r="M344" s="1" t="s">
        <v>21</v>
      </c>
      <c r="N344" s="6" t="s">
        <v>35</v>
      </c>
    </row>
    <row r="345" spans="1:14" x14ac:dyDescent="0.3">
      <c r="A345" s="5" t="s">
        <v>833</v>
      </c>
      <c r="B345" s="1" t="s">
        <v>260</v>
      </c>
      <c r="C345" s="1" t="s">
        <v>16</v>
      </c>
      <c r="D345" s="1">
        <v>23</v>
      </c>
      <c r="E345" s="1" t="s">
        <v>59</v>
      </c>
      <c r="F345" s="1" t="s">
        <v>26</v>
      </c>
      <c r="G345" s="1" t="s">
        <v>320</v>
      </c>
      <c r="H345" s="1">
        <v>0</v>
      </c>
      <c r="I345" s="1">
        <v>48831</v>
      </c>
      <c r="J345" s="1">
        <v>3418</v>
      </c>
      <c r="K345" s="1">
        <v>99</v>
      </c>
      <c r="L345" s="1" t="s">
        <v>20</v>
      </c>
      <c r="M345" s="1" t="s">
        <v>21</v>
      </c>
      <c r="N345" s="6" t="s">
        <v>28</v>
      </c>
    </row>
    <row r="346" spans="1:14" x14ac:dyDescent="0.3">
      <c r="A346" s="5" t="s">
        <v>834</v>
      </c>
      <c r="B346" s="1" t="s">
        <v>352</v>
      </c>
      <c r="C346" s="1" t="s">
        <v>16</v>
      </c>
      <c r="D346" s="1">
        <v>38</v>
      </c>
      <c r="E346" s="1" t="s">
        <v>38</v>
      </c>
      <c r="F346" s="1" t="s">
        <v>60</v>
      </c>
      <c r="G346" s="1" t="s">
        <v>835</v>
      </c>
      <c r="H346" s="1">
        <v>10</v>
      </c>
      <c r="I346" s="1">
        <v>81982</v>
      </c>
      <c r="J346" s="1">
        <v>16396</v>
      </c>
      <c r="K346" s="1">
        <v>78</v>
      </c>
      <c r="L346" s="1" t="s">
        <v>40</v>
      </c>
      <c r="M346" s="1" t="s">
        <v>21</v>
      </c>
      <c r="N346" s="6" t="s">
        <v>44</v>
      </c>
    </row>
    <row r="347" spans="1:14" x14ac:dyDescent="0.3">
      <c r="A347" s="5" t="s">
        <v>836</v>
      </c>
      <c r="B347" s="1" t="s">
        <v>668</v>
      </c>
      <c r="C347" s="1" t="s">
        <v>31</v>
      </c>
      <c r="D347" s="1">
        <v>25</v>
      </c>
      <c r="E347" s="1" t="s">
        <v>32</v>
      </c>
      <c r="F347" s="1" t="s">
        <v>67</v>
      </c>
      <c r="G347" s="1" t="s">
        <v>837</v>
      </c>
      <c r="H347" s="1">
        <v>7</v>
      </c>
      <c r="I347" s="1">
        <v>86477</v>
      </c>
      <c r="J347" s="1">
        <v>8648</v>
      </c>
      <c r="K347" s="1">
        <v>89</v>
      </c>
      <c r="L347" s="1" t="s">
        <v>20</v>
      </c>
      <c r="M347" s="1" t="s">
        <v>21</v>
      </c>
      <c r="N347" s="6" t="s">
        <v>22</v>
      </c>
    </row>
    <row r="348" spans="1:14" x14ac:dyDescent="0.3">
      <c r="A348" s="5" t="s">
        <v>838</v>
      </c>
      <c r="B348" s="1" t="s">
        <v>485</v>
      </c>
      <c r="C348" s="1" t="s">
        <v>31</v>
      </c>
      <c r="D348" s="1">
        <v>22</v>
      </c>
      <c r="E348" s="1" t="s">
        <v>47</v>
      </c>
      <c r="F348" s="1" t="s">
        <v>48</v>
      </c>
      <c r="G348" s="1" t="s">
        <v>839</v>
      </c>
      <c r="H348" s="1">
        <v>2</v>
      </c>
      <c r="I348" s="1">
        <v>27893</v>
      </c>
      <c r="J348" s="1">
        <v>4184</v>
      </c>
      <c r="K348" s="1">
        <v>95</v>
      </c>
      <c r="L348" s="1" t="s">
        <v>34</v>
      </c>
      <c r="M348" s="1" t="s">
        <v>21</v>
      </c>
      <c r="N348" s="6" t="s">
        <v>35</v>
      </c>
    </row>
    <row r="349" spans="1:14" x14ac:dyDescent="0.3">
      <c r="A349" s="5" t="s">
        <v>840</v>
      </c>
      <c r="B349" s="1" t="s">
        <v>841</v>
      </c>
      <c r="C349" s="1" t="s">
        <v>31</v>
      </c>
      <c r="D349" s="1">
        <v>38</v>
      </c>
      <c r="E349" s="1" t="s">
        <v>38</v>
      </c>
      <c r="F349" s="1" t="s">
        <v>67</v>
      </c>
      <c r="G349" s="1" t="s">
        <v>842</v>
      </c>
      <c r="H349" s="1">
        <v>15</v>
      </c>
      <c r="I349" s="1">
        <v>56972</v>
      </c>
      <c r="J349" s="1">
        <v>10825</v>
      </c>
      <c r="K349" s="1">
        <v>77</v>
      </c>
      <c r="L349" s="1" t="s">
        <v>40</v>
      </c>
      <c r="M349" s="1" t="s">
        <v>21</v>
      </c>
      <c r="N349" s="6" t="s">
        <v>35</v>
      </c>
    </row>
    <row r="350" spans="1:14" x14ac:dyDescent="0.3">
      <c r="A350" s="5" t="s">
        <v>843</v>
      </c>
      <c r="B350" s="1" t="s">
        <v>109</v>
      </c>
      <c r="C350" s="1" t="s">
        <v>31</v>
      </c>
      <c r="D350" s="1">
        <v>22</v>
      </c>
      <c r="E350" s="1" t="s">
        <v>32</v>
      </c>
      <c r="F350" s="1" t="s">
        <v>26</v>
      </c>
      <c r="G350" s="1" t="s">
        <v>844</v>
      </c>
      <c r="H350" s="1">
        <v>14</v>
      </c>
      <c r="I350" s="1">
        <v>53335</v>
      </c>
      <c r="J350" s="1">
        <v>4267</v>
      </c>
      <c r="K350" s="1">
        <v>88</v>
      </c>
      <c r="L350" s="1" t="s">
        <v>69</v>
      </c>
      <c r="M350" s="1" t="s">
        <v>21</v>
      </c>
      <c r="N350" s="6" t="s">
        <v>35</v>
      </c>
    </row>
    <row r="351" spans="1:14" x14ac:dyDescent="0.3">
      <c r="A351" s="5" t="s">
        <v>845</v>
      </c>
      <c r="B351" s="1" t="s">
        <v>283</v>
      </c>
      <c r="C351" s="1" t="s">
        <v>31</v>
      </c>
      <c r="D351" s="1">
        <v>36</v>
      </c>
      <c r="E351" s="1" t="s">
        <v>17</v>
      </c>
      <c r="F351" s="1" t="s">
        <v>26</v>
      </c>
      <c r="G351" s="1" t="s">
        <v>846</v>
      </c>
      <c r="H351" s="1">
        <v>1</v>
      </c>
      <c r="I351" s="1">
        <v>28799</v>
      </c>
      <c r="J351" s="1">
        <v>1440</v>
      </c>
      <c r="K351" s="1">
        <v>82</v>
      </c>
      <c r="L351" s="1" t="s">
        <v>34</v>
      </c>
      <c r="M351" s="1" t="s">
        <v>21</v>
      </c>
      <c r="N351" s="6" t="s">
        <v>28</v>
      </c>
    </row>
    <row r="352" spans="1:14" x14ac:dyDescent="0.3">
      <c r="A352" s="5" t="s">
        <v>847</v>
      </c>
      <c r="B352" s="1" t="s">
        <v>44</v>
      </c>
      <c r="C352" s="1" t="s">
        <v>16</v>
      </c>
      <c r="D352" s="1">
        <v>32</v>
      </c>
      <c r="E352" s="1" t="s">
        <v>47</v>
      </c>
      <c r="F352" s="1" t="s">
        <v>67</v>
      </c>
      <c r="G352" s="1" t="s">
        <v>848</v>
      </c>
      <c r="H352" s="1">
        <v>6</v>
      </c>
      <c r="I352" s="1">
        <v>102453</v>
      </c>
      <c r="J352" s="1">
        <v>5123</v>
      </c>
      <c r="K352" s="1">
        <v>89</v>
      </c>
      <c r="L352" s="1" t="s">
        <v>20</v>
      </c>
      <c r="M352" s="1" t="s">
        <v>21</v>
      </c>
      <c r="N352" s="6" t="s">
        <v>22</v>
      </c>
    </row>
    <row r="353" spans="1:14" x14ac:dyDescent="0.3">
      <c r="A353" s="5" t="s">
        <v>849</v>
      </c>
      <c r="B353" s="1" t="s">
        <v>58</v>
      </c>
      <c r="C353" s="1" t="s">
        <v>31</v>
      </c>
      <c r="D353" s="1">
        <v>34</v>
      </c>
      <c r="E353" s="1" t="s">
        <v>17</v>
      </c>
      <c r="F353" s="1" t="s">
        <v>75</v>
      </c>
      <c r="G353" s="1" t="s">
        <v>850</v>
      </c>
      <c r="H353" s="1">
        <v>9</v>
      </c>
      <c r="I353" s="1">
        <v>94132</v>
      </c>
      <c r="J353" s="1">
        <v>10355</v>
      </c>
      <c r="K353" s="1">
        <v>79</v>
      </c>
      <c r="L353" s="1" t="s">
        <v>34</v>
      </c>
      <c r="M353" s="1" t="s">
        <v>21</v>
      </c>
      <c r="N353" s="6" t="s">
        <v>28</v>
      </c>
    </row>
    <row r="354" spans="1:14" x14ac:dyDescent="0.3">
      <c r="A354" s="5" t="s">
        <v>851</v>
      </c>
      <c r="B354" s="1" t="s">
        <v>242</v>
      </c>
      <c r="C354" s="1" t="s">
        <v>16</v>
      </c>
      <c r="D354" s="1">
        <v>45</v>
      </c>
      <c r="E354" s="1" t="s">
        <v>47</v>
      </c>
      <c r="F354" s="1" t="s">
        <v>75</v>
      </c>
      <c r="G354" s="1" t="s">
        <v>852</v>
      </c>
      <c r="H354" s="1">
        <v>5</v>
      </c>
      <c r="I354" s="1">
        <v>99192</v>
      </c>
      <c r="J354" s="1">
        <v>15871</v>
      </c>
      <c r="K354" s="1">
        <v>82</v>
      </c>
      <c r="L354" s="1" t="s">
        <v>34</v>
      </c>
      <c r="M354" s="1" t="s">
        <v>21</v>
      </c>
      <c r="N354" s="6" t="s">
        <v>22</v>
      </c>
    </row>
    <row r="355" spans="1:14" x14ac:dyDescent="0.3">
      <c r="A355" s="5" t="s">
        <v>853</v>
      </c>
      <c r="B355" s="1" t="s">
        <v>523</v>
      </c>
      <c r="C355" s="1" t="s">
        <v>31</v>
      </c>
      <c r="D355" s="1">
        <v>23</v>
      </c>
      <c r="E355" s="1" t="s">
        <v>32</v>
      </c>
      <c r="F355" s="1" t="s">
        <v>67</v>
      </c>
      <c r="G355" s="1" t="s">
        <v>854</v>
      </c>
      <c r="H355" s="1">
        <v>4</v>
      </c>
      <c r="I355" s="1">
        <v>89470</v>
      </c>
      <c r="J355" s="1">
        <v>11631</v>
      </c>
      <c r="K355" s="1">
        <v>95</v>
      </c>
      <c r="L355" s="1" t="s">
        <v>20</v>
      </c>
      <c r="M355" s="1" t="s">
        <v>21</v>
      </c>
      <c r="N355" s="6" t="s">
        <v>28</v>
      </c>
    </row>
    <row r="356" spans="1:14" x14ac:dyDescent="0.3">
      <c r="A356" s="5" t="s">
        <v>855</v>
      </c>
      <c r="B356" s="1" t="s">
        <v>124</v>
      </c>
      <c r="C356" s="1" t="s">
        <v>16</v>
      </c>
      <c r="D356" s="1">
        <v>45</v>
      </c>
      <c r="E356" s="1" t="s">
        <v>47</v>
      </c>
      <c r="F356" s="1" t="s">
        <v>60</v>
      </c>
      <c r="G356" s="1" t="s">
        <v>856</v>
      </c>
      <c r="H356" s="1">
        <v>4</v>
      </c>
      <c r="I356" s="1">
        <v>58470</v>
      </c>
      <c r="J356" s="1">
        <v>7016</v>
      </c>
      <c r="K356" s="1">
        <v>77</v>
      </c>
      <c r="L356" s="1" t="s">
        <v>40</v>
      </c>
      <c r="M356" s="1" t="s">
        <v>21</v>
      </c>
      <c r="N356" s="6" t="s">
        <v>35</v>
      </c>
    </row>
    <row r="357" spans="1:14" x14ac:dyDescent="0.3">
      <c r="A357" s="5" t="s">
        <v>857</v>
      </c>
      <c r="B357" s="1" t="s">
        <v>46</v>
      </c>
      <c r="C357" s="1" t="s">
        <v>16</v>
      </c>
      <c r="D357" s="1">
        <v>37</v>
      </c>
      <c r="E357" s="1" t="s">
        <v>25</v>
      </c>
      <c r="F357" s="1" t="s">
        <v>75</v>
      </c>
      <c r="G357" s="1" t="s">
        <v>858</v>
      </c>
      <c r="H357" s="1">
        <v>6</v>
      </c>
      <c r="I357" s="1">
        <v>96956</v>
      </c>
      <c r="J357" s="1">
        <v>13574</v>
      </c>
      <c r="K357" s="1">
        <v>84</v>
      </c>
      <c r="L357" s="1" t="s">
        <v>34</v>
      </c>
      <c r="M357" s="1" t="s">
        <v>21</v>
      </c>
      <c r="N357" s="6" t="s">
        <v>50</v>
      </c>
    </row>
    <row r="358" spans="1:14" x14ac:dyDescent="0.3">
      <c r="A358" s="5" t="s">
        <v>859</v>
      </c>
      <c r="B358" s="1" t="s">
        <v>860</v>
      </c>
      <c r="C358" s="1" t="s">
        <v>31</v>
      </c>
      <c r="D358" s="1">
        <v>44</v>
      </c>
      <c r="E358" s="1" t="s">
        <v>38</v>
      </c>
      <c r="F358" s="1" t="s">
        <v>85</v>
      </c>
      <c r="G358" s="1" t="s">
        <v>861</v>
      </c>
      <c r="H358" s="1">
        <v>6</v>
      </c>
      <c r="I358" s="1">
        <v>39920</v>
      </c>
      <c r="J358" s="1">
        <v>3992</v>
      </c>
      <c r="K358" s="1">
        <v>78</v>
      </c>
      <c r="L358" s="1" t="s">
        <v>20</v>
      </c>
      <c r="M358" s="1" t="s">
        <v>21</v>
      </c>
      <c r="N358" s="6" t="s">
        <v>22</v>
      </c>
    </row>
    <row r="359" spans="1:14" x14ac:dyDescent="0.3">
      <c r="A359" s="5" t="s">
        <v>862</v>
      </c>
      <c r="B359" s="1" t="s">
        <v>863</v>
      </c>
      <c r="C359" s="1" t="s">
        <v>31</v>
      </c>
      <c r="D359" s="1">
        <v>29</v>
      </c>
      <c r="E359" s="1" t="s">
        <v>59</v>
      </c>
      <c r="F359" s="1" t="s">
        <v>60</v>
      </c>
      <c r="G359" s="1" t="s">
        <v>832</v>
      </c>
      <c r="H359" s="1">
        <v>12</v>
      </c>
      <c r="I359" s="1">
        <v>96356</v>
      </c>
      <c r="J359" s="1">
        <v>15417</v>
      </c>
      <c r="K359" s="1">
        <v>100</v>
      </c>
      <c r="L359" s="1" t="s">
        <v>20</v>
      </c>
      <c r="M359" s="1" t="s">
        <v>117</v>
      </c>
      <c r="N359" s="6" t="s">
        <v>50</v>
      </c>
    </row>
    <row r="360" spans="1:14" x14ac:dyDescent="0.3">
      <c r="A360" s="5" t="s">
        <v>864</v>
      </c>
      <c r="B360" s="1" t="s">
        <v>786</v>
      </c>
      <c r="C360" s="1" t="s">
        <v>31</v>
      </c>
      <c r="D360" s="1">
        <v>48</v>
      </c>
      <c r="E360" s="1" t="s">
        <v>59</v>
      </c>
      <c r="F360" s="1" t="s">
        <v>26</v>
      </c>
      <c r="G360" s="1" t="s">
        <v>865</v>
      </c>
      <c r="H360" s="1">
        <v>3</v>
      </c>
      <c r="I360" s="1">
        <v>29447</v>
      </c>
      <c r="J360" s="1">
        <v>4417</v>
      </c>
      <c r="K360" s="1">
        <v>83</v>
      </c>
      <c r="L360" s="1" t="s">
        <v>20</v>
      </c>
      <c r="M360" s="1" t="s">
        <v>21</v>
      </c>
      <c r="N360" s="6" t="s">
        <v>50</v>
      </c>
    </row>
    <row r="361" spans="1:14" x14ac:dyDescent="0.3">
      <c r="A361" s="5" t="s">
        <v>866</v>
      </c>
      <c r="B361" s="1" t="s">
        <v>283</v>
      </c>
      <c r="C361" s="1" t="s">
        <v>16</v>
      </c>
      <c r="D361" s="1">
        <v>26</v>
      </c>
      <c r="E361" s="1" t="s">
        <v>25</v>
      </c>
      <c r="F361" s="1" t="s">
        <v>18</v>
      </c>
      <c r="G361" s="1" t="s">
        <v>867</v>
      </c>
      <c r="H361" s="1">
        <v>2</v>
      </c>
      <c r="I361" s="1">
        <v>106913</v>
      </c>
      <c r="J361" s="1">
        <v>9622</v>
      </c>
      <c r="K361" s="1">
        <v>82</v>
      </c>
      <c r="L361" s="1" t="s">
        <v>34</v>
      </c>
      <c r="M361" s="1" t="s">
        <v>21</v>
      </c>
      <c r="N361" s="6" t="s">
        <v>44</v>
      </c>
    </row>
    <row r="362" spans="1:14" x14ac:dyDescent="0.3">
      <c r="A362" s="5" t="s">
        <v>868</v>
      </c>
      <c r="B362" s="1" t="s">
        <v>869</v>
      </c>
      <c r="C362" s="1" t="s">
        <v>16</v>
      </c>
      <c r="D362" s="1">
        <v>49</v>
      </c>
      <c r="E362" s="1" t="s">
        <v>47</v>
      </c>
      <c r="F362" s="1" t="s">
        <v>75</v>
      </c>
      <c r="G362" s="1" t="s">
        <v>870</v>
      </c>
      <c r="H362" s="1">
        <v>8</v>
      </c>
      <c r="I362" s="1">
        <v>48819</v>
      </c>
      <c r="J362" s="1">
        <v>2929</v>
      </c>
      <c r="K362" s="1">
        <v>98</v>
      </c>
      <c r="L362" s="1" t="s">
        <v>69</v>
      </c>
      <c r="M362" s="1" t="s">
        <v>21</v>
      </c>
      <c r="N362" s="6" t="s">
        <v>22</v>
      </c>
    </row>
    <row r="363" spans="1:14" x14ac:dyDescent="0.3">
      <c r="A363" s="5" t="s">
        <v>871</v>
      </c>
      <c r="B363" s="1" t="s">
        <v>184</v>
      </c>
      <c r="C363" s="1" t="s">
        <v>31</v>
      </c>
      <c r="D363" s="1">
        <v>25</v>
      </c>
      <c r="E363" s="1" t="s">
        <v>25</v>
      </c>
      <c r="F363" s="1" t="s">
        <v>48</v>
      </c>
      <c r="G363" s="1" t="s">
        <v>872</v>
      </c>
      <c r="H363" s="1">
        <v>1</v>
      </c>
      <c r="I363" s="1">
        <v>78470</v>
      </c>
      <c r="J363" s="1">
        <v>10986</v>
      </c>
      <c r="K363" s="1">
        <v>100</v>
      </c>
      <c r="L363" s="1" t="s">
        <v>20</v>
      </c>
      <c r="M363" s="1" t="s">
        <v>21</v>
      </c>
      <c r="N363" s="6" t="s">
        <v>44</v>
      </c>
    </row>
    <row r="364" spans="1:14" x14ac:dyDescent="0.3">
      <c r="A364" s="5" t="s">
        <v>873</v>
      </c>
      <c r="B364" s="1" t="s">
        <v>195</v>
      </c>
      <c r="C364" s="1" t="s">
        <v>31</v>
      </c>
      <c r="D364" s="1">
        <v>22</v>
      </c>
      <c r="E364" s="1" t="s">
        <v>38</v>
      </c>
      <c r="F364" s="1" t="s">
        <v>67</v>
      </c>
      <c r="G364" s="1" t="s">
        <v>874</v>
      </c>
      <c r="H364" s="1">
        <v>14</v>
      </c>
      <c r="I364" s="1">
        <v>109528</v>
      </c>
      <c r="J364" s="1">
        <v>14239</v>
      </c>
      <c r="K364" s="1">
        <v>89</v>
      </c>
      <c r="L364" s="1" t="s">
        <v>34</v>
      </c>
      <c r="M364" s="1" t="s">
        <v>21</v>
      </c>
      <c r="N364" s="6" t="s">
        <v>44</v>
      </c>
    </row>
    <row r="365" spans="1:14" x14ac:dyDescent="0.3">
      <c r="A365" s="5" t="s">
        <v>875</v>
      </c>
      <c r="B365" s="1" t="s">
        <v>863</v>
      </c>
      <c r="C365" s="1" t="s">
        <v>16</v>
      </c>
      <c r="D365" s="1">
        <v>50</v>
      </c>
      <c r="E365" s="1" t="s">
        <v>38</v>
      </c>
      <c r="F365" s="1" t="s">
        <v>67</v>
      </c>
      <c r="G365" s="1" t="s">
        <v>876</v>
      </c>
      <c r="H365" s="1">
        <v>4</v>
      </c>
      <c r="I365" s="1">
        <v>80383</v>
      </c>
      <c r="J365" s="1">
        <v>12057</v>
      </c>
      <c r="K365" s="1">
        <v>98</v>
      </c>
      <c r="L365" s="1" t="s">
        <v>20</v>
      </c>
      <c r="M365" s="1" t="s">
        <v>21</v>
      </c>
      <c r="N365" s="6" t="s">
        <v>28</v>
      </c>
    </row>
    <row r="366" spans="1:14" x14ac:dyDescent="0.3">
      <c r="A366" s="5" t="s">
        <v>877</v>
      </c>
      <c r="B366" s="1" t="s">
        <v>300</v>
      </c>
      <c r="C366" s="1" t="s">
        <v>16</v>
      </c>
      <c r="D366" s="1">
        <v>27</v>
      </c>
      <c r="E366" s="1" t="s">
        <v>38</v>
      </c>
      <c r="F366" s="1" t="s">
        <v>48</v>
      </c>
      <c r="G366" s="1" t="s">
        <v>878</v>
      </c>
      <c r="H366" s="1">
        <v>15</v>
      </c>
      <c r="I366" s="1">
        <v>99512</v>
      </c>
      <c r="J366" s="1">
        <v>5971</v>
      </c>
      <c r="K366" s="1">
        <v>96</v>
      </c>
      <c r="L366" s="1" t="s">
        <v>69</v>
      </c>
      <c r="M366" s="1" t="s">
        <v>21</v>
      </c>
      <c r="N366" s="6" t="s">
        <v>44</v>
      </c>
    </row>
    <row r="367" spans="1:14" x14ac:dyDescent="0.3">
      <c r="A367" s="5" t="s">
        <v>879</v>
      </c>
      <c r="B367" s="1" t="s">
        <v>880</v>
      </c>
      <c r="C367" s="1" t="s">
        <v>31</v>
      </c>
      <c r="D367" s="1">
        <v>23</v>
      </c>
      <c r="E367" s="1" t="s">
        <v>17</v>
      </c>
      <c r="F367" s="1" t="s">
        <v>48</v>
      </c>
      <c r="G367" s="1" t="s">
        <v>881</v>
      </c>
      <c r="H367" s="1">
        <v>3</v>
      </c>
      <c r="I367" s="1">
        <v>49578</v>
      </c>
      <c r="J367" s="1">
        <v>9916</v>
      </c>
      <c r="K367" s="1">
        <v>92</v>
      </c>
      <c r="L367" s="1" t="s">
        <v>20</v>
      </c>
      <c r="M367" s="1" t="s">
        <v>21</v>
      </c>
      <c r="N367" s="6" t="s">
        <v>50</v>
      </c>
    </row>
    <row r="368" spans="1:14" x14ac:dyDescent="0.3">
      <c r="A368" s="5" t="s">
        <v>882</v>
      </c>
      <c r="B368" s="1" t="s">
        <v>494</v>
      </c>
      <c r="C368" s="1" t="s">
        <v>16</v>
      </c>
      <c r="D368" s="1">
        <v>33</v>
      </c>
      <c r="E368" s="1" t="s">
        <v>38</v>
      </c>
      <c r="F368" s="1" t="s">
        <v>75</v>
      </c>
      <c r="G368" s="1" t="s">
        <v>440</v>
      </c>
      <c r="H368" s="1">
        <v>3</v>
      </c>
      <c r="I368" s="1">
        <v>38401</v>
      </c>
      <c r="J368" s="1">
        <v>5376</v>
      </c>
      <c r="K368" s="1">
        <v>95</v>
      </c>
      <c r="L368" s="1" t="s">
        <v>20</v>
      </c>
      <c r="M368" s="1" t="s">
        <v>21</v>
      </c>
      <c r="N368" s="6" t="s">
        <v>44</v>
      </c>
    </row>
    <row r="369" spans="1:14" x14ac:dyDescent="0.3">
      <c r="A369" s="5" t="s">
        <v>883</v>
      </c>
      <c r="B369" s="1" t="s">
        <v>345</v>
      </c>
      <c r="C369" s="1" t="s">
        <v>16</v>
      </c>
      <c r="D369" s="1">
        <v>34</v>
      </c>
      <c r="E369" s="1" t="s">
        <v>17</v>
      </c>
      <c r="F369" s="1" t="s">
        <v>48</v>
      </c>
      <c r="G369" s="1" t="s">
        <v>884</v>
      </c>
      <c r="H369" s="1">
        <v>14</v>
      </c>
      <c r="I369" s="1">
        <v>38064</v>
      </c>
      <c r="J369" s="1">
        <v>1903</v>
      </c>
      <c r="K369" s="1">
        <v>99</v>
      </c>
      <c r="L369" s="1" t="s">
        <v>20</v>
      </c>
      <c r="M369" s="1" t="s">
        <v>117</v>
      </c>
      <c r="N369" s="6" t="s">
        <v>22</v>
      </c>
    </row>
    <row r="370" spans="1:14" x14ac:dyDescent="0.3">
      <c r="A370" s="5" t="s">
        <v>885</v>
      </c>
      <c r="B370" s="1" t="s">
        <v>886</v>
      </c>
      <c r="C370" s="1" t="s">
        <v>31</v>
      </c>
      <c r="D370" s="1">
        <v>31</v>
      </c>
      <c r="E370" s="1" t="s">
        <v>25</v>
      </c>
      <c r="F370" s="1" t="s">
        <v>26</v>
      </c>
      <c r="G370" s="1" t="s">
        <v>887</v>
      </c>
      <c r="H370" s="1">
        <v>11</v>
      </c>
      <c r="I370" s="1">
        <v>96793</v>
      </c>
      <c r="J370" s="1">
        <v>14519</v>
      </c>
      <c r="K370" s="1">
        <v>80</v>
      </c>
      <c r="L370" s="1" t="s">
        <v>34</v>
      </c>
      <c r="M370" s="1" t="s">
        <v>21</v>
      </c>
      <c r="N370" s="6" t="s">
        <v>35</v>
      </c>
    </row>
    <row r="371" spans="1:14" x14ac:dyDescent="0.3">
      <c r="A371" s="5" t="s">
        <v>888</v>
      </c>
      <c r="B371" s="1" t="s">
        <v>63</v>
      </c>
      <c r="C371" s="1" t="s">
        <v>31</v>
      </c>
      <c r="D371" s="1">
        <v>30</v>
      </c>
      <c r="E371" s="1" t="s">
        <v>17</v>
      </c>
      <c r="F371" s="1" t="s">
        <v>67</v>
      </c>
      <c r="G371" s="1" t="s">
        <v>889</v>
      </c>
      <c r="H371" s="1">
        <v>12</v>
      </c>
      <c r="I371" s="1">
        <v>37594</v>
      </c>
      <c r="J371" s="1">
        <v>7519</v>
      </c>
      <c r="K371" s="1">
        <v>76</v>
      </c>
      <c r="L371" s="1" t="s">
        <v>69</v>
      </c>
      <c r="M371" s="1" t="s">
        <v>21</v>
      </c>
      <c r="N371" s="6" t="s">
        <v>22</v>
      </c>
    </row>
    <row r="372" spans="1:14" x14ac:dyDescent="0.3">
      <c r="A372" s="5" t="s">
        <v>890</v>
      </c>
      <c r="B372" s="1" t="s">
        <v>863</v>
      </c>
      <c r="C372" s="1" t="s">
        <v>16</v>
      </c>
      <c r="D372" s="1">
        <v>28</v>
      </c>
      <c r="E372" s="1" t="s">
        <v>59</v>
      </c>
      <c r="F372" s="1" t="s">
        <v>48</v>
      </c>
      <c r="G372" s="1" t="s">
        <v>891</v>
      </c>
      <c r="H372" s="1">
        <v>4</v>
      </c>
      <c r="I372" s="1">
        <v>96889</v>
      </c>
      <c r="J372" s="1">
        <v>4844</v>
      </c>
      <c r="K372" s="1">
        <v>75</v>
      </c>
      <c r="L372" s="1" t="s">
        <v>34</v>
      </c>
      <c r="M372" s="1" t="s">
        <v>21</v>
      </c>
      <c r="N372" s="6" t="s">
        <v>44</v>
      </c>
    </row>
    <row r="373" spans="1:14" x14ac:dyDescent="0.3">
      <c r="A373" s="5" t="s">
        <v>892</v>
      </c>
      <c r="B373" s="1" t="s">
        <v>103</v>
      </c>
      <c r="C373" s="1" t="s">
        <v>16</v>
      </c>
      <c r="D373" s="1">
        <v>47</v>
      </c>
      <c r="E373" s="1" t="s">
        <v>47</v>
      </c>
      <c r="F373" s="1" t="s">
        <v>75</v>
      </c>
      <c r="G373" s="1" t="s">
        <v>893</v>
      </c>
      <c r="H373" s="1">
        <v>10</v>
      </c>
      <c r="I373" s="1">
        <v>81400</v>
      </c>
      <c r="J373" s="1">
        <v>15466</v>
      </c>
      <c r="K373" s="1">
        <v>82</v>
      </c>
      <c r="L373" s="1" t="s">
        <v>34</v>
      </c>
      <c r="M373" s="1" t="s">
        <v>21</v>
      </c>
      <c r="N373" s="6" t="s">
        <v>22</v>
      </c>
    </row>
    <row r="374" spans="1:14" x14ac:dyDescent="0.3">
      <c r="A374" s="5" t="s">
        <v>894</v>
      </c>
      <c r="B374" s="1" t="s">
        <v>158</v>
      </c>
      <c r="C374" s="1" t="s">
        <v>31</v>
      </c>
      <c r="D374" s="1">
        <v>28</v>
      </c>
      <c r="E374" s="1" t="s">
        <v>59</v>
      </c>
      <c r="F374" s="1" t="s">
        <v>26</v>
      </c>
      <c r="G374" s="1" t="s">
        <v>895</v>
      </c>
      <c r="H374" s="1">
        <v>1</v>
      </c>
      <c r="I374" s="1">
        <v>70889</v>
      </c>
      <c r="J374" s="1">
        <v>11342</v>
      </c>
      <c r="K374" s="1">
        <v>80</v>
      </c>
      <c r="L374" s="1" t="s">
        <v>34</v>
      </c>
      <c r="M374" s="1" t="s">
        <v>21</v>
      </c>
      <c r="N374" s="6" t="s">
        <v>28</v>
      </c>
    </row>
    <row r="375" spans="1:14" x14ac:dyDescent="0.3">
      <c r="A375" s="5" t="s">
        <v>896</v>
      </c>
      <c r="B375" s="1" t="s">
        <v>112</v>
      </c>
      <c r="C375" s="1" t="s">
        <v>31</v>
      </c>
      <c r="D375" s="1">
        <v>39</v>
      </c>
      <c r="E375" s="1" t="s">
        <v>38</v>
      </c>
      <c r="F375" s="1" t="s">
        <v>67</v>
      </c>
      <c r="G375" s="1" t="s">
        <v>897</v>
      </c>
      <c r="H375" s="1">
        <v>10</v>
      </c>
      <c r="I375" s="1">
        <v>79180</v>
      </c>
      <c r="J375" s="1">
        <v>5543</v>
      </c>
      <c r="K375" s="1">
        <v>82</v>
      </c>
      <c r="L375" s="1" t="s">
        <v>20</v>
      </c>
      <c r="M375" s="1" t="s">
        <v>21</v>
      </c>
      <c r="N375" s="6" t="s">
        <v>50</v>
      </c>
    </row>
    <row r="376" spans="1:14" x14ac:dyDescent="0.3">
      <c r="A376" s="5" t="s">
        <v>898</v>
      </c>
      <c r="B376" s="1" t="s">
        <v>46</v>
      </c>
      <c r="C376" s="1" t="s">
        <v>31</v>
      </c>
      <c r="D376" s="1">
        <v>48</v>
      </c>
      <c r="E376" s="1" t="s">
        <v>25</v>
      </c>
      <c r="F376" s="1" t="s">
        <v>75</v>
      </c>
      <c r="G376" s="1" t="s">
        <v>899</v>
      </c>
      <c r="H376" s="1">
        <v>3</v>
      </c>
      <c r="I376" s="1">
        <v>60663</v>
      </c>
      <c r="J376" s="1">
        <v>6066</v>
      </c>
      <c r="K376" s="1">
        <v>91</v>
      </c>
      <c r="L376" s="1" t="s">
        <v>20</v>
      </c>
      <c r="M376" s="1" t="s">
        <v>21</v>
      </c>
      <c r="N376" s="6" t="s">
        <v>35</v>
      </c>
    </row>
    <row r="377" spans="1:14" x14ac:dyDescent="0.3">
      <c r="A377" s="5" t="s">
        <v>900</v>
      </c>
      <c r="B377" s="1" t="s">
        <v>817</v>
      </c>
      <c r="C377" s="1" t="s">
        <v>31</v>
      </c>
      <c r="D377" s="1">
        <v>28</v>
      </c>
      <c r="E377" s="1" t="s">
        <v>25</v>
      </c>
      <c r="F377" s="1" t="s">
        <v>26</v>
      </c>
      <c r="G377" s="1" t="s">
        <v>901</v>
      </c>
      <c r="H377" s="1">
        <v>10</v>
      </c>
      <c r="I377" s="1">
        <v>69791</v>
      </c>
      <c r="J377" s="1">
        <v>6979</v>
      </c>
      <c r="K377" s="1">
        <v>100</v>
      </c>
      <c r="L377" s="1" t="s">
        <v>34</v>
      </c>
      <c r="M377" s="1" t="s">
        <v>21</v>
      </c>
      <c r="N377" s="6" t="s">
        <v>28</v>
      </c>
    </row>
    <row r="378" spans="1:14" x14ac:dyDescent="0.3">
      <c r="A378" s="5" t="s">
        <v>902</v>
      </c>
      <c r="B378" s="1" t="s">
        <v>597</v>
      </c>
      <c r="C378" s="1" t="s">
        <v>31</v>
      </c>
      <c r="D378" s="1">
        <v>28</v>
      </c>
      <c r="E378" s="1" t="s">
        <v>38</v>
      </c>
      <c r="F378" s="1" t="s">
        <v>67</v>
      </c>
      <c r="G378" s="1" t="s">
        <v>903</v>
      </c>
      <c r="H378" s="1">
        <v>6</v>
      </c>
      <c r="I378" s="1">
        <v>58797</v>
      </c>
      <c r="J378" s="1">
        <v>11759</v>
      </c>
      <c r="K378" s="1">
        <v>78</v>
      </c>
      <c r="L378" s="1" t="s">
        <v>69</v>
      </c>
      <c r="M378" s="1" t="s">
        <v>21</v>
      </c>
      <c r="N378" s="6" t="s">
        <v>44</v>
      </c>
    </row>
    <row r="379" spans="1:14" x14ac:dyDescent="0.3">
      <c r="A379" s="5" t="s">
        <v>904</v>
      </c>
      <c r="B379" s="1" t="s">
        <v>538</v>
      </c>
      <c r="C379" s="1" t="s">
        <v>16</v>
      </c>
      <c r="D379" s="1">
        <v>44</v>
      </c>
      <c r="E379" s="1" t="s">
        <v>47</v>
      </c>
      <c r="F379" s="1" t="s">
        <v>18</v>
      </c>
      <c r="G379" s="1" t="s">
        <v>905</v>
      </c>
      <c r="H379" s="1">
        <v>10</v>
      </c>
      <c r="I379" s="1">
        <v>51853</v>
      </c>
      <c r="J379" s="1">
        <v>7778</v>
      </c>
      <c r="K379" s="1">
        <v>100</v>
      </c>
      <c r="L379" s="1" t="s">
        <v>40</v>
      </c>
      <c r="M379" s="1" t="s">
        <v>21</v>
      </c>
      <c r="N379" s="6" t="s">
        <v>35</v>
      </c>
    </row>
    <row r="380" spans="1:14" x14ac:dyDescent="0.3">
      <c r="A380" s="5" t="s">
        <v>906</v>
      </c>
      <c r="B380" s="1" t="s">
        <v>907</v>
      </c>
      <c r="C380" s="1" t="s">
        <v>31</v>
      </c>
      <c r="D380" s="1">
        <v>37</v>
      </c>
      <c r="E380" s="1" t="s">
        <v>59</v>
      </c>
      <c r="F380" s="1" t="s">
        <v>85</v>
      </c>
      <c r="G380" s="1" t="s">
        <v>908</v>
      </c>
      <c r="H380" s="1">
        <v>6</v>
      </c>
      <c r="I380" s="1">
        <v>91936</v>
      </c>
      <c r="J380" s="1">
        <v>5516</v>
      </c>
      <c r="K380" s="1">
        <v>82</v>
      </c>
      <c r="L380" s="1" t="s">
        <v>34</v>
      </c>
      <c r="M380" s="1" t="s">
        <v>21</v>
      </c>
      <c r="N380" s="6" t="s">
        <v>44</v>
      </c>
    </row>
    <row r="381" spans="1:14" x14ac:dyDescent="0.3">
      <c r="A381" s="5" t="s">
        <v>909</v>
      </c>
      <c r="B381" s="1" t="s">
        <v>910</v>
      </c>
      <c r="C381" s="1" t="s">
        <v>16</v>
      </c>
      <c r="D381" s="1">
        <v>34</v>
      </c>
      <c r="E381" s="1" t="s">
        <v>59</v>
      </c>
      <c r="F381" s="1" t="s">
        <v>18</v>
      </c>
      <c r="G381" s="1" t="s">
        <v>911</v>
      </c>
      <c r="H381" s="1">
        <v>5</v>
      </c>
      <c r="I381" s="1">
        <v>93243</v>
      </c>
      <c r="J381" s="1">
        <v>8392</v>
      </c>
      <c r="K381" s="1">
        <v>86</v>
      </c>
      <c r="L381" s="1" t="s">
        <v>40</v>
      </c>
      <c r="M381" s="1" t="s">
        <v>21</v>
      </c>
      <c r="N381" s="6" t="s">
        <v>28</v>
      </c>
    </row>
    <row r="382" spans="1:14" x14ac:dyDescent="0.3">
      <c r="A382" s="5" t="s">
        <v>912</v>
      </c>
      <c r="B382" s="1" t="s">
        <v>886</v>
      </c>
      <c r="C382" s="1" t="s">
        <v>16</v>
      </c>
      <c r="D382" s="1">
        <v>42</v>
      </c>
      <c r="E382" s="1" t="s">
        <v>25</v>
      </c>
      <c r="F382" s="1" t="s">
        <v>67</v>
      </c>
      <c r="G382" s="1" t="s">
        <v>331</v>
      </c>
      <c r="H382" s="1">
        <v>5</v>
      </c>
      <c r="I382" s="1">
        <v>91720</v>
      </c>
      <c r="J382" s="1">
        <v>6420</v>
      </c>
      <c r="K382" s="1">
        <v>86</v>
      </c>
      <c r="L382" s="1" t="s">
        <v>40</v>
      </c>
      <c r="M382" s="1" t="s">
        <v>21</v>
      </c>
      <c r="N382" s="6" t="s">
        <v>28</v>
      </c>
    </row>
    <row r="383" spans="1:14" x14ac:dyDescent="0.3">
      <c r="A383" s="5" t="s">
        <v>913</v>
      </c>
      <c r="B383" s="1" t="s">
        <v>30</v>
      </c>
      <c r="C383" s="1" t="s">
        <v>16</v>
      </c>
      <c r="D383" s="1">
        <v>43</v>
      </c>
      <c r="E383" s="1" t="s">
        <v>32</v>
      </c>
      <c r="F383" s="1" t="s">
        <v>75</v>
      </c>
      <c r="G383" s="1" t="s">
        <v>914</v>
      </c>
      <c r="H383" s="1">
        <v>13</v>
      </c>
      <c r="I383" s="1">
        <v>79679</v>
      </c>
      <c r="J383" s="1">
        <v>6374</v>
      </c>
      <c r="K383" s="1">
        <v>79</v>
      </c>
      <c r="L383" s="1" t="s">
        <v>69</v>
      </c>
      <c r="M383" s="1" t="s">
        <v>21</v>
      </c>
      <c r="N383" s="6" t="s">
        <v>50</v>
      </c>
    </row>
    <row r="384" spans="1:14" x14ac:dyDescent="0.3">
      <c r="A384" s="5" t="s">
        <v>915</v>
      </c>
      <c r="B384" s="1" t="s">
        <v>475</v>
      </c>
      <c r="C384" s="1" t="s">
        <v>16</v>
      </c>
      <c r="D384" s="1">
        <v>30</v>
      </c>
      <c r="E384" s="1" t="s">
        <v>32</v>
      </c>
      <c r="F384" s="1" t="s">
        <v>26</v>
      </c>
      <c r="G384" s="1" t="s">
        <v>916</v>
      </c>
      <c r="H384" s="1">
        <v>5</v>
      </c>
      <c r="I384" s="1">
        <v>106029</v>
      </c>
      <c r="J384" s="1">
        <v>7422</v>
      </c>
      <c r="K384" s="1">
        <v>99</v>
      </c>
      <c r="L384" s="1" t="s">
        <v>69</v>
      </c>
      <c r="M384" s="1" t="s">
        <v>21</v>
      </c>
      <c r="N384" s="6" t="s">
        <v>35</v>
      </c>
    </row>
    <row r="385" spans="1:14" x14ac:dyDescent="0.3">
      <c r="A385" s="5" t="s">
        <v>917</v>
      </c>
      <c r="B385" s="1" t="s">
        <v>251</v>
      </c>
      <c r="C385" s="1" t="s">
        <v>16</v>
      </c>
      <c r="D385" s="1">
        <v>30</v>
      </c>
      <c r="E385" s="1" t="s">
        <v>32</v>
      </c>
      <c r="F385" s="1" t="s">
        <v>60</v>
      </c>
      <c r="G385" s="1" t="s">
        <v>918</v>
      </c>
      <c r="H385" s="1">
        <v>6</v>
      </c>
      <c r="I385" s="1">
        <v>59078</v>
      </c>
      <c r="J385" s="1">
        <v>7089</v>
      </c>
      <c r="K385" s="1">
        <v>86</v>
      </c>
      <c r="L385" s="1" t="s">
        <v>69</v>
      </c>
      <c r="M385" s="1" t="s">
        <v>21</v>
      </c>
      <c r="N385" s="6" t="s">
        <v>22</v>
      </c>
    </row>
    <row r="386" spans="1:14" x14ac:dyDescent="0.3">
      <c r="A386" s="5" t="s">
        <v>919</v>
      </c>
      <c r="B386" s="1" t="s">
        <v>242</v>
      </c>
      <c r="C386" s="1" t="s">
        <v>16</v>
      </c>
      <c r="D386" s="1">
        <v>27</v>
      </c>
      <c r="E386" s="1" t="s">
        <v>38</v>
      </c>
      <c r="F386" s="1" t="s">
        <v>26</v>
      </c>
      <c r="G386" s="1" t="s">
        <v>920</v>
      </c>
      <c r="H386" s="1">
        <v>3</v>
      </c>
      <c r="I386" s="1">
        <v>119846</v>
      </c>
      <c r="J386" s="1">
        <v>13183</v>
      </c>
      <c r="K386" s="1">
        <v>96</v>
      </c>
      <c r="L386" s="1" t="s">
        <v>20</v>
      </c>
      <c r="M386" s="1" t="s">
        <v>21</v>
      </c>
      <c r="N386" s="6" t="s">
        <v>50</v>
      </c>
    </row>
    <row r="387" spans="1:14" x14ac:dyDescent="0.3">
      <c r="A387" s="5" t="s">
        <v>921</v>
      </c>
      <c r="B387" s="1" t="s">
        <v>922</v>
      </c>
      <c r="C387" s="1" t="s">
        <v>31</v>
      </c>
      <c r="D387" s="1">
        <v>29</v>
      </c>
      <c r="E387" s="1" t="s">
        <v>38</v>
      </c>
      <c r="F387" s="1" t="s">
        <v>85</v>
      </c>
      <c r="G387" s="1" t="s">
        <v>923</v>
      </c>
      <c r="H387" s="1">
        <v>1</v>
      </c>
      <c r="I387" s="1">
        <v>116179</v>
      </c>
      <c r="J387" s="1">
        <v>16265</v>
      </c>
      <c r="K387" s="1">
        <v>76</v>
      </c>
      <c r="L387" s="1" t="s">
        <v>20</v>
      </c>
      <c r="M387" s="1" t="s">
        <v>21</v>
      </c>
      <c r="N387" s="6" t="s">
        <v>22</v>
      </c>
    </row>
    <row r="388" spans="1:14" x14ac:dyDescent="0.3">
      <c r="A388" s="5" t="s">
        <v>924</v>
      </c>
      <c r="B388" s="1" t="s">
        <v>348</v>
      </c>
      <c r="C388" s="1" t="s">
        <v>16</v>
      </c>
      <c r="D388" s="1">
        <v>46</v>
      </c>
      <c r="E388" s="1" t="s">
        <v>59</v>
      </c>
      <c r="F388" s="1" t="s">
        <v>26</v>
      </c>
      <c r="G388" s="1" t="s">
        <v>49</v>
      </c>
      <c r="H388" s="1">
        <v>2</v>
      </c>
      <c r="I388" s="1">
        <v>31996</v>
      </c>
      <c r="J388" s="1">
        <v>4479</v>
      </c>
      <c r="K388" s="1">
        <v>90</v>
      </c>
      <c r="L388" s="1" t="s">
        <v>34</v>
      </c>
      <c r="M388" s="1" t="s">
        <v>21</v>
      </c>
      <c r="N388" s="6" t="s">
        <v>50</v>
      </c>
    </row>
    <row r="389" spans="1:14" x14ac:dyDescent="0.3">
      <c r="A389" s="5" t="s">
        <v>925</v>
      </c>
      <c r="B389" s="1" t="s">
        <v>170</v>
      </c>
      <c r="C389" s="1" t="s">
        <v>31</v>
      </c>
      <c r="D389" s="1">
        <v>39</v>
      </c>
      <c r="E389" s="1" t="s">
        <v>38</v>
      </c>
      <c r="F389" s="1" t="s">
        <v>26</v>
      </c>
      <c r="G389" s="1" t="s">
        <v>926</v>
      </c>
      <c r="H389" s="1">
        <v>7</v>
      </c>
      <c r="I389" s="1">
        <v>90388</v>
      </c>
      <c r="J389" s="1">
        <v>9943</v>
      </c>
      <c r="K389" s="1">
        <v>96</v>
      </c>
      <c r="L389" s="1" t="s">
        <v>40</v>
      </c>
      <c r="M389" s="1" t="s">
        <v>21</v>
      </c>
      <c r="N389" s="6" t="s">
        <v>22</v>
      </c>
    </row>
    <row r="390" spans="1:14" x14ac:dyDescent="0.3">
      <c r="A390" s="5" t="s">
        <v>927</v>
      </c>
      <c r="B390" s="1" t="s">
        <v>928</v>
      </c>
      <c r="C390" s="1" t="s">
        <v>31</v>
      </c>
      <c r="D390" s="1">
        <v>48</v>
      </c>
      <c r="E390" s="1" t="s">
        <v>25</v>
      </c>
      <c r="F390" s="1" t="s">
        <v>67</v>
      </c>
      <c r="G390" s="1" t="s">
        <v>357</v>
      </c>
      <c r="H390" s="1">
        <v>0</v>
      </c>
      <c r="I390" s="1">
        <v>83963</v>
      </c>
      <c r="J390" s="1">
        <v>13434</v>
      </c>
      <c r="K390" s="1">
        <v>78</v>
      </c>
      <c r="L390" s="1" t="s">
        <v>34</v>
      </c>
      <c r="M390" s="1" t="s">
        <v>21</v>
      </c>
      <c r="N390" s="6" t="s">
        <v>28</v>
      </c>
    </row>
    <row r="391" spans="1:14" x14ac:dyDescent="0.3">
      <c r="A391" s="5" t="s">
        <v>929</v>
      </c>
      <c r="B391" s="1" t="s">
        <v>475</v>
      </c>
      <c r="C391" s="1" t="s">
        <v>31</v>
      </c>
      <c r="D391" s="1">
        <v>39</v>
      </c>
      <c r="E391" s="1" t="s">
        <v>17</v>
      </c>
      <c r="F391" s="1" t="s">
        <v>26</v>
      </c>
      <c r="G391" s="1" t="s">
        <v>930</v>
      </c>
      <c r="H391" s="1">
        <v>10</v>
      </c>
      <c r="I391" s="1">
        <v>117930</v>
      </c>
      <c r="J391" s="1">
        <v>8255</v>
      </c>
      <c r="K391" s="1">
        <v>90</v>
      </c>
      <c r="L391" s="1" t="s">
        <v>20</v>
      </c>
      <c r="M391" s="1" t="s">
        <v>117</v>
      </c>
      <c r="N391" s="6" t="s">
        <v>44</v>
      </c>
    </row>
    <row r="392" spans="1:14" x14ac:dyDescent="0.3">
      <c r="A392" s="5" t="s">
        <v>931</v>
      </c>
      <c r="B392" s="1" t="s">
        <v>523</v>
      </c>
      <c r="C392" s="1" t="s">
        <v>31</v>
      </c>
      <c r="D392" s="1">
        <v>43</v>
      </c>
      <c r="E392" s="1" t="s">
        <v>59</v>
      </c>
      <c r="F392" s="1" t="s">
        <v>85</v>
      </c>
      <c r="G392" s="1" t="s">
        <v>932</v>
      </c>
      <c r="H392" s="1">
        <v>13</v>
      </c>
      <c r="I392" s="1">
        <v>87342</v>
      </c>
      <c r="J392" s="1">
        <v>6987</v>
      </c>
      <c r="K392" s="1">
        <v>99</v>
      </c>
      <c r="L392" s="1" t="s">
        <v>69</v>
      </c>
      <c r="M392" s="1" t="s">
        <v>21</v>
      </c>
      <c r="N392" s="6" t="s">
        <v>50</v>
      </c>
    </row>
    <row r="393" spans="1:14" x14ac:dyDescent="0.3">
      <c r="A393" s="5" t="s">
        <v>933</v>
      </c>
      <c r="B393" s="1" t="s">
        <v>297</v>
      </c>
      <c r="C393" s="1" t="s">
        <v>31</v>
      </c>
      <c r="D393" s="1">
        <v>33</v>
      </c>
      <c r="E393" s="1" t="s">
        <v>59</v>
      </c>
      <c r="F393" s="1" t="s">
        <v>85</v>
      </c>
      <c r="G393" s="1" t="s">
        <v>934</v>
      </c>
      <c r="H393" s="1">
        <v>3</v>
      </c>
      <c r="I393" s="1">
        <v>106677</v>
      </c>
      <c r="J393" s="1">
        <v>16002</v>
      </c>
      <c r="K393" s="1">
        <v>76</v>
      </c>
      <c r="L393" s="1" t="s">
        <v>20</v>
      </c>
      <c r="M393" s="1" t="s">
        <v>21</v>
      </c>
      <c r="N393" s="6" t="s">
        <v>44</v>
      </c>
    </row>
    <row r="394" spans="1:14" x14ac:dyDescent="0.3">
      <c r="A394" s="5" t="s">
        <v>935</v>
      </c>
      <c r="B394" s="1" t="s">
        <v>112</v>
      </c>
      <c r="C394" s="1" t="s">
        <v>31</v>
      </c>
      <c r="D394" s="1">
        <v>50</v>
      </c>
      <c r="E394" s="1" t="s">
        <v>25</v>
      </c>
      <c r="F394" s="1" t="s">
        <v>67</v>
      </c>
      <c r="G394" s="1" t="s">
        <v>936</v>
      </c>
      <c r="H394" s="1">
        <v>15</v>
      </c>
      <c r="I394" s="1">
        <v>74764</v>
      </c>
      <c r="J394" s="1">
        <v>8224</v>
      </c>
      <c r="K394" s="1">
        <v>84</v>
      </c>
      <c r="L394" s="1" t="s">
        <v>34</v>
      </c>
      <c r="M394" s="1" t="s">
        <v>21</v>
      </c>
      <c r="N394" s="6" t="s">
        <v>22</v>
      </c>
    </row>
    <row r="395" spans="1:14" x14ac:dyDescent="0.3">
      <c r="A395" s="5" t="s">
        <v>937</v>
      </c>
      <c r="B395" s="1" t="s">
        <v>148</v>
      </c>
      <c r="C395" s="1" t="s">
        <v>16</v>
      </c>
      <c r="D395" s="1">
        <v>44</v>
      </c>
      <c r="E395" s="1" t="s">
        <v>17</v>
      </c>
      <c r="F395" s="1" t="s">
        <v>60</v>
      </c>
      <c r="G395" s="1" t="s">
        <v>938</v>
      </c>
      <c r="H395" s="1">
        <v>8</v>
      </c>
      <c r="I395" s="1">
        <v>64233</v>
      </c>
      <c r="J395" s="1">
        <v>12204</v>
      </c>
      <c r="K395" s="1">
        <v>75</v>
      </c>
      <c r="L395" s="1" t="s">
        <v>20</v>
      </c>
      <c r="M395" s="1" t="s">
        <v>21</v>
      </c>
      <c r="N395" s="6" t="s">
        <v>50</v>
      </c>
    </row>
    <row r="396" spans="1:14" x14ac:dyDescent="0.3">
      <c r="A396" s="5" t="s">
        <v>939</v>
      </c>
      <c r="B396" s="1" t="s">
        <v>791</v>
      </c>
      <c r="C396" s="1" t="s">
        <v>16</v>
      </c>
      <c r="D396" s="1">
        <v>43</v>
      </c>
      <c r="E396" s="1" t="s">
        <v>32</v>
      </c>
      <c r="F396" s="1" t="s">
        <v>75</v>
      </c>
      <c r="G396" s="1" t="s">
        <v>940</v>
      </c>
      <c r="H396" s="1">
        <v>11</v>
      </c>
      <c r="I396" s="1">
        <v>57487</v>
      </c>
      <c r="J396" s="1">
        <v>8048</v>
      </c>
      <c r="K396" s="1">
        <v>100</v>
      </c>
      <c r="L396" s="1" t="s">
        <v>34</v>
      </c>
      <c r="M396" s="1" t="s">
        <v>21</v>
      </c>
      <c r="N396" s="6" t="s">
        <v>44</v>
      </c>
    </row>
    <row r="397" spans="1:14" x14ac:dyDescent="0.3">
      <c r="A397" s="5" t="s">
        <v>941</v>
      </c>
      <c r="B397" s="1" t="s">
        <v>74</v>
      </c>
      <c r="C397" s="1" t="s">
        <v>16</v>
      </c>
      <c r="D397" s="1">
        <v>22</v>
      </c>
      <c r="E397" s="1" t="s">
        <v>47</v>
      </c>
      <c r="F397" s="1" t="s">
        <v>18</v>
      </c>
      <c r="G397" s="1" t="s">
        <v>942</v>
      </c>
      <c r="H397" s="1">
        <v>3</v>
      </c>
      <c r="I397" s="1">
        <v>119217</v>
      </c>
      <c r="J397" s="1">
        <v>14306</v>
      </c>
      <c r="K397" s="1">
        <v>84</v>
      </c>
      <c r="L397" s="1" t="s">
        <v>40</v>
      </c>
      <c r="M397" s="1" t="s">
        <v>21</v>
      </c>
      <c r="N397" s="6" t="s">
        <v>35</v>
      </c>
    </row>
    <row r="398" spans="1:14" x14ac:dyDescent="0.3">
      <c r="A398" s="5" t="s">
        <v>943</v>
      </c>
      <c r="B398" s="1" t="s">
        <v>305</v>
      </c>
      <c r="C398" s="1" t="s">
        <v>16</v>
      </c>
      <c r="D398" s="1">
        <v>35</v>
      </c>
      <c r="E398" s="1" t="s">
        <v>17</v>
      </c>
      <c r="F398" s="1" t="s">
        <v>26</v>
      </c>
      <c r="G398" s="1" t="s">
        <v>944</v>
      </c>
      <c r="H398" s="1">
        <v>1</v>
      </c>
      <c r="I398" s="1">
        <v>78107</v>
      </c>
      <c r="J398" s="1">
        <v>5467</v>
      </c>
      <c r="K398" s="1">
        <v>96</v>
      </c>
      <c r="L398" s="1" t="s">
        <v>20</v>
      </c>
      <c r="M398" s="1" t="s">
        <v>21</v>
      </c>
      <c r="N398" s="6" t="s">
        <v>28</v>
      </c>
    </row>
    <row r="399" spans="1:14" x14ac:dyDescent="0.3">
      <c r="A399" s="5" t="s">
        <v>945</v>
      </c>
      <c r="B399" s="1" t="s">
        <v>475</v>
      </c>
      <c r="C399" s="1" t="s">
        <v>16</v>
      </c>
      <c r="D399" s="1">
        <v>34</v>
      </c>
      <c r="E399" s="1" t="s">
        <v>38</v>
      </c>
      <c r="F399" s="1" t="s">
        <v>85</v>
      </c>
      <c r="G399" s="1" t="s">
        <v>946</v>
      </c>
      <c r="H399" s="1">
        <v>6</v>
      </c>
      <c r="I399" s="1">
        <v>119558</v>
      </c>
      <c r="J399" s="1">
        <v>10760</v>
      </c>
      <c r="K399" s="1">
        <v>89</v>
      </c>
      <c r="L399" s="1" t="s">
        <v>69</v>
      </c>
      <c r="M399" s="1" t="s">
        <v>21</v>
      </c>
      <c r="N399" s="6" t="s">
        <v>22</v>
      </c>
    </row>
    <row r="400" spans="1:14" x14ac:dyDescent="0.3">
      <c r="A400" s="5" t="s">
        <v>947</v>
      </c>
      <c r="B400" s="1" t="s">
        <v>46</v>
      </c>
      <c r="C400" s="1" t="s">
        <v>31</v>
      </c>
      <c r="D400" s="1">
        <v>47</v>
      </c>
      <c r="E400" s="1" t="s">
        <v>59</v>
      </c>
      <c r="F400" s="1" t="s">
        <v>75</v>
      </c>
      <c r="G400" s="1" t="s">
        <v>948</v>
      </c>
      <c r="H400" s="1">
        <v>5</v>
      </c>
      <c r="I400" s="1">
        <v>73300</v>
      </c>
      <c r="J400" s="1">
        <v>10262</v>
      </c>
      <c r="K400" s="1">
        <v>81</v>
      </c>
      <c r="L400" s="1" t="s">
        <v>34</v>
      </c>
      <c r="M400" s="1" t="s">
        <v>21</v>
      </c>
      <c r="N400" s="6" t="s">
        <v>22</v>
      </c>
    </row>
    <row r="401" spans="1:14" x14ac:dyDescent="0.3">
      <c r="A401" s="5" t="s">
        <v>949</v>
      </c>
      <c r="B401" s="1" t="s">
        <v>115</v>
      </c>
      <c r="C401" s="1" t="s">
        <v>16</v>
      </c>
      <c r="D401" s="1">
        <v>50</v>
      </c>
      <c r="E401" s="1" t="s">
        <v>47</v>
      </c>
      <c r="F401" s="1" t="s">
        <v>48</v>
      </c>
      <c r="G401" s="1" t="s">
        <v>950</v>
      </c>
      <c r="H401" s="1">
        <v>8</v>
      </c>
      <c r="I401" s="1">
        <v>81985</v>
      </c>
      <c r="J401" s="1">
        <v>4099</v>
      </c>
      <c r="K401" s="1">
        <v>85</v>
      </c>
      <c r="L401" s="1" t="s">
        <v>34</v>
      </c>
      <c r="M401" s="1" t="s">
        <v>21</v>
      </c>
      <c r="N401" s="6" t="s">
        <v>35</v>
      </c>
    </row>
    <row r="402" spans="1:14" x14ac:dyDescent="0.3">
      <c r="A402" s="5" t="s">
        <v>951</v>
      </c>
      <c r="B402" s="1" t="s">
        <v>458</v>
      </c>
      <c r="C402" s="1" t="s">
        <v>16</v>
      </c>
      <c r="D402" s="1">
        <v>42</v>
      </c>
      <c r="E402" s="1" t="s">
        <v>32</v>
      </c>
      <c r="F402" s="1" t="s">
        <v>85</v>
      </c>
      <c r="G402" s="1" t="s">
        <v>952</v>
      </c>
      <c r="H402" s="1">
        <v>4</v>
      </c>
      <c r="I402" s="1">
        <v>111148</v>
      </c>
      <c r="J402" s="1">
        <v>15561</v>
      </c>
      <c r="K402" s="1">
        <v>76</v>
      </c>
      <c r="L402" s="1" t="s">
        <v>34</v>
      </c>
      <c r="M402" s="1" t="s">
        <v>21</v>
      </c>
      <c r="N402" s="6" t="s">
        <v>28</v>
      </c>
    </row>
    <row r="403" spans="1:14" x14ac:dyDescent="0.3">
      <c r="A403" s="5" t="s">
        <v>953</v>
      </c>
      <c r="B403" s="1" t="s">
        <v>263</v>
      </c>
      <c r="C403" s="1" t="s">
        <v>16</v>
      </c>
      <c r="D403" s="1">
        <v>38</v>
      </c>
      <c r="E403" s="1" t="s">
        <v>32</v>
      </c>
      <c r="F403" s="1" t="s">
        <v>75</v>
      </c>
      <c r="G403" s="1" t="s">
        <v>954</v>
      </c>
      <c r="H403" s="1">
        <v>1</v>
      </c>
      <c r="I403" s="1">
        <v>57874</v>
      </c>
      <c r="J403" s="1">
        <v>8681</v>
      </c>
      <c r="K403" s="1">
        <v>98</v>
      </c>
      <c r="L403" s="1" t="s">
        <v>20</v>
      </c>
      <c r="M403" s="1" t="s">
        <v>21</v>
      </c>
      <c r="N403" s="6" t="s">
        <v>22</v>
      </c>
    </row>
    <row r="404" spans="1:14" x14ac:dyDescent="0.3">
      <c r="A404" s="5" t="s">
        <v>955</v>
      </c>
      <c r="B404" s="1" t="s">
        <v>910</v>
      </c>
      <c r="C404" s="1" t="s">
        <v>31</v>
      </c>
      <c r="D404" s="1">
        <v>33</v>
      </c>
      <c r="E404" s="1" t="s">
        <v>17</v>
      </c>
      <c r="F404" s="1" t="s">
        <v>75</v>
      </c>
      <c r="G404" s="1" t="s">
        <v>956</v>
      </c>
      <c r="H404" s="1">
        <v>4</v>
      </c>
      <c r="I404" s="1">
        <v>78451</v>
      </c>
      <c r="J404" s="1">
        <v>15690</v>
      </c>
      <c r="K404" s="1">
        <v>93</v>
      </c>
      <c r="L404" s="1" t="s">
        <v>34</v>
      </c>
      <c r="M404" s="1" t="s">
        <v>21</v>
      </c>
      <c r="N404" s="6" t="s">
        <v>22</v>
      </c>
    </row>
    <row r="405" spans="1:14" x14ac:dyDescent="0.3">
      <c r="A405" s="5" t="s">
        <v>957</v>
      </c>
      <c r="B405" s="1" t="s">
        <v>245</v>
      </c>
      <c r="C405" s="1" t="s">
        <v>31</v>
      </c>
      <c r="D405" s="1">
        <v>25</v>
      </c>
      <c r="E405" s="1" t="s">
        <v>59</v>
      </c>
      <c r="F405" s="1" t="s">
        <v>67</v>
      </c>
      <c r="G405" s="1" t="s">
        <v>958</v>
      </c>
      <c r="H405" s="1">
        <v>7</v>
      </c>
      <c r="I405" s="1">
        <v>83091</v>
      </c>
      <c r="J405" s="1">
        <v>10802</v>
      </c>
      <c r="K405" s="1">
        <v>78</v>
      </c>
      <c r="L405" s="1" t="s">
        <v>20</v>
      </c>
      <c r="M405" s="1" t="s">
        <v>21</v>
      </c>
      <c r="N405" s="6" t="s">
        <v>28</v>
      </c>
    </row>
    <row r="406" spans="1:14" x14ac:dyDescent="0.3">
      <c r="A406" s="5" t="s">
        <v>959</v>
      </c>
      <c r="B406" s="1" t="s">
        <v>960</v>
      </c>
      <c r="C406" s="1" t="s">
        <v>31</v>
      </c>
      <c r="D406" s="1">
        <v>40</v>
      </c>
      <c r="E406" s="1" t="s">
        <v>59</v>
      </c>
      <c r="F406" s="1" t="s">
        <v>60</v>
      </c>
      <c r="G406" s="1" t="s">
        <v>961</v>
      </c>
      <c r="H406" s="1">
        <v>5</v>
      </c>
      <c r="I406" s="1">
        <v>51391</v>
      </c>
      <c r="J406" s="1">
        <v>6681</v>
      </c>
      <c r="K406" s="1">
        <v>98</v>
      </c>
      <c r="L406" s="1" t="s">
        <v>34</v>
      </c>
      <c r="M406" s="1" t="s">
        <v>21</v>
      </c>
      <c r="N406" s="6" t="s">
        <v>35</v>
      </c>
    </row>
    <row r="407" spans="1:14" x14ac:dyDescent="0.3">
      <c r="A407" s="5" t="s">
        <v>962</v>
      </c>
      <c r="B407" s="1" t="s">
        <v>297</v>
      </c>
      <c r="C407" s="1" t="s">
        <v>31</v>
      </c>
      <c r="D407" s="1">
        <v>47</v>
      </c>
      <c r="E407" s="1" t="s">
        <v>59</v>
      </c>
      <c r="F407" s="1" t="s">
        <v>85</v>
      </c>
      <c r="G407" s="1" t="s">
        <v>963</v>
      </c>
      <c r="H407" s="1">
        <v>12</v>
      </c>
      <c r="I407" s="1">
        <v>84961</v>
      </c>
      <c r="J407" s="1">
        <v>11895</v>
      </c>
      <c r="K407" s="1">
        <v>84</v>
      </c>
      <c r="L407" s="1" t="s">
        <v>34</v>
      </c>
      <c r="M407" s="1" t="s">
        <v>21</v>
      </c>
      <c r="N407" s="6" t="s">
        <v>50</v>
      </c>
    </row>
    <row r="408" spans="1:14" x14ac:dyDescent="0.3">
      <c r="A408" s="5" t="s">
        <v>964</v>
      </c>
      <c r="B408" s="1" t="s">
        <v>74</v>
      </c>
      <c r="C408" s="1" t="s">
        <v>31</v>
      </c>
      <c r="D408" s="1">
        <v>30</v>
      </c>
      <c r="E408" s="1" t="s">
        <v>47</v>
      </c>
      <c r="F408" s="1" t="s">
        <v>26</v>
      </c>
      <c r="G408" s="1" t="s">
        <v>965</v>
      </c>
      <c r="H408" s="1">
        <v>5</v>
      </c>
      <c r="I408" s="1">
        <v>90535</v>
      </c>
      <c r="J408" s="1">
        <v>5432</v>
      </c>
      <c r="K408" s="1">
        <v>78</v>
      </c>
      <c r="L408" s="1" t="s">
        <v>40</v>
      </c>
      <c r="M408" s="1" t="s">
        <v>21</v>
      </c>
      <c r="N408" s="6" t="s">
        <v>35</v>
      </c>
    </row>
    <row r="409" spans="1:14" x14ac:dyDescent="0.3">
      <c r="A409" s="5" t="s">
        <v>966</v>
      </c>
      <c r="B409" s="1" t="s">
        <v>469</v>
      </c>
      <c r="C409" s="1" t="s">
        <v>16</v>
      </c>
      <c r="D409" s="1">
        <v>33</v>
      </c>
      <c r="E409" s="1" t="s">
        <v>17</v>
      </c>
      <c r="F409" s="1" t="s">
        <v>60</v>
      </c>
      <c r="G409" s="1" t="s">
        <v>967</v>
      </c>
      <c r="H409" s="1">
        <v>14</v>
      </c>
      <c r="I409" s="1">
        <v>116016</v>
      </c>
      <c r="J409" s="1">
        <v>9281</v>
      </c>
      <c r="K409" s="1">
        <v>100</v>
      </c>
      <c r="L409" s="1" t="s">
        <v>34</v>
      </c>
      <c r="M409" s="1" t="s">
        <v>21</v>
      </c>
      <c r="N409" s="6" t="s">
        <v>44</v>
      </c>
    </row>
    <row r="410" spans="1:14" x14ac:dyDescent="0.3">
      <c r="A410" s="5" t="s">
        <v>968</v>
      </c>
      <c r="B410" s="1" t="s">
        <v>538</v>
      </c>
      <c r="C410" s="1" t="s">
        <v>16</v>
      </c>
      <c r="D410" s="1">
        <v>24</v>
      </c>
      <c r="E410" s="1" t="s">
        <v>17</v>
      </c>
      <c r="F410" s="1" t="s">
        <v>85</v>
      </c>
      <c r="G410" s="1" t="s">
        <v>792</v>
      </c>
      <c r="H410" s="1">
        <v>7</v>
      </c>
      <c r="I410" s="1">
        <v>49617</v>
      </c>
      <c r="J410" s="1">
        <v>3969</v>
      </c>
      <c r="K410" s="1">
        <v>92</v>
      </c>
      <c r="L410" s="1" t="s">
        <v>20</v>
      </c>
      <c r="M410" s="1" t="s">
        <v>117</v>
      </c>
      <c r="N410" s="6" t="s">
        <v>28</v>
      </c>
    </row>
    <row r="411" spans="1:14" x14ac:dyDescent="0.3">
      <c r="A411" s="5" t="s">
        <v>969</v>
      </c>
      <c r="B411" s="1" t="s">
        <v>35</v>
      </c>
      <c r="C411" s="1" t="s">
        <v>16</v>
      </c>
      <c r="D411" s="1">
        <v>30</v>
      </c>
      <c r="E411" s="1" t="s">
        <v>32</v>
      </c>
      <c r="F411" s="1" t="s">
        <v>26</v>
      </c>
      <c r="G411" s="1" t="s">
        <v>970</v>
      </c>
      <c r="H411" s="1">
        <v>9</v>
      </c>
      <c r="I411" s="1">
        <v>67305</v>
      </c>
      <c r="J411" s="1">
        <v>3365</v>
      </c>
      <c r="K411" s="1">
        <v>96</v>
      </c>
      <c r="L411" s="1" t="s">
        <v>69</v>
      </c>
      <c r="M411" s="1" t="s">
        <v>21</v>
      </c>
      <c r="N411" s="6" t="s">
        <v>50</v>
      </c>
    </row>
    <row r="412" spans="1:14" x14ac:dyDescent="0.3">
      <c r="A412" s="5" t="s">
        <v>971</v>
      </c>
      <c r="B412" s="1" t="s">
        <v>485</v>
      </c>
      <c r="C412" s="1" t="s">
        <v>16</v>
      </c>
      <c r="D412" s="1">
        <v>38</v>
      </c>
      <c r="E412" s="1" t="s">
        <v>38</v>
      </c>
      <c r="F412" s="1" t="s">
        <v>60</v>
      </c>
      <c r="G412" s="1" t="s">
        <v>948</v>
      </c>
      <c r="H412" s="1">
        <v>9</v>
      </c>
      <c r="I412" s="1">
        <v>91647</v>
      </c>
      <c r="J412" s="1">
        <v>5499</v>
      </c>
      <c r="K412" s="1">
        <v>87</v>
      </c>
      <c r="L412" s="1" t="s">
        <v>40</v>
      </c>
      <c r="M412" s="1" t="s">
        <v>21</v>
      </c>
      <c r="N412" s="6" t="s">
        <v>22</v>
      </c>
    </row>
    <row r="413" spans="1:14" x14ac:dyDescent="0.3">
      <c r="A413" s="5" t="s">
        <v>972</v>
      </c>
      <c r="B413" s="1" t="s">
        <v>142</v>
      </c>
      <c r="C413" s="1" t="s">
        <v>16</v>
      </c>
      <c r="D413" s="1">
        <v>24</v>
      </c>
      <c r="E413" s="1" t="s">
        <v>17</v>
      </c>
      <c r="F413" s="1" t="s">
        <v>60</v>
      </c>
      <c r="G413" s="1" t="s">
        <v>973</v>
      </c>
      <c r="H413" s="1">
        <v>2</v>
      </c>
      <c r="I413" s="1">
        <v>116291</v>
      </c>
      <c r="J413" s="1">
        <v>19769</v>
      </c>
      <c r="K413" s="1">
        <v>91</v>
      </c>
      <c r="L413" s="1" t="s">
        <v>34</v>
      </c>
      <c r="M413" s="1" t="s">
        <v>21</v>
      </c>
      <c r="N413" s="6" t="s">
        <v>50</v>
      </c>
    </row>
    <row r="414" spans="1:14" x14ac:dyDescent="0.3">
      <c r="A414" s="5" t="s">
        <v>974</v>
      </c>
      <c r="B414" s="1" t="s">
        <v>588</v>
      </c>
      <c r="C414" s="1" t="s">
        <v>31</v>
      </c>
      <c r="D414" s="1">
        <v>42</v>
      </c>
      <c r="E414" s="1" t="s">
        <v>59</v>
      </c>
      <c r="F414" s="1" t="s">
        <v>85</v>
      </c>
      <c r="G414" s="1" t="s">
        <v>975</v>
      </c>
      <c r="H414" s="1">
        <v>14</v>
      </c>
      <c r="I414" s="1">
        <v>31174</v>
      </c>
      <c r="J414" s="1">
        <v>4364</v>
      </c>
      <c r="K414" s="1">
        <v>92</v>
      </c>
      <c r="L414" s="1" t="s">
        <v>20</v>
      </c>
      <c r="M414" s="1" t="s">
        <v>117</v>
      </c>
      <c r="N414" s="6" t="s">
        <v>28</v>
      </c>
    </row>
    <row r="415" spans="1:14" x14ac:dyDescent="0.3">
      <c r="A415" s="5" t="s">
        <v>976</v>
      </c>
      <c r="B415" s="1" t="s">
        <v>410</v>
      </c>
      <c r="C415" s="1" t="s">
        <v>31</v>
      </c>
      <c r="D415" s="1">
        <v>36</v>
      </c>
      <c r="E415" s="1" t="s">
        <v>59</v>
      </c>
      <c r="F415" s="1" t="s">
        <v>26</v>
      </c>
      <c r="G415" s="1" t="s">
        <v>977</v>
      </c>
      <c r="H415" s="1">
        <v>8</v>
      </c>
      <c r="I415" s="1">
        <v>107200</v>
      </c>
      <c r="J415" s="1">
        <v>11792</v>
      </c>
      <c r="K415" s="1">
        <v>88</v>
      </c>
      <c r="L415" s="1" t="s">
        <v>40</v>
      </c>
      <c r="M415" s="1" t="s">
        <v>21</v>
      </c>
      <c r="N415" s="6" t="s">
        <v>44</v>
      </c>
    </row>
    <row r="416" spans="1:14" x14ac:dyDescent="0.3">
      <c r="A416" s="5" t="s">
        <v>978</v>
      </c>
      <c r="B416" s="1" t="s">
        <v>30</v>
      </c>
      <c r="C416" s="1" t="s">
        <v>31</v>
      </c>
      <c r="D416" s="1">
        <v>38</v>
      </c>
      <c r="E416" s="1" t="s">
        <v>25</v>
      </c>
      <c r="F416" s="1" t="s">
        <v>26</v>
      </c>
      <c r="G416" s="1" t="s">
        <v>979</v>
      </c>
      <c r="H416" s="1">
        <v>12</v>
      </c>
      <c r="I416" s="1">
        <v>101102</v>
      </c>
      <c r="J416" s="1">
        <v>14154</v>
      </c>
      <c r="K416" s="1">
        <v>80</v>
      </c>
      <c r="L416" s="1" t="s">
        <v>34</v>
      </c>
      <c r="M416" s="1" t="s">
        <v>21</v>
      </c>
      <c r="N416" s="6" t="s">
        <v>44</v>
      </c>
    </row>
    <row r="417" spans="1:14" x14ac:dyDescent="0.3">
      <c r="A417" s="5" t="s">
        <v>980</v>
      </c>
      <c r="B417" s="1" t="s">
        <v>91</v>
      </c>
      <c r="C417" s="1" t="s">
        <v>31</v>
      </c>
      <c r="D417" s="1">
        <v>45</v>
      </c>
      <c r="E417" s="1" t="s">
        <v>25</v>
      </c>
      <c r="F417" s="1" t="s">
        <v>67</v>
      </c>
      <c r="G417" s="1" t="s">
        <v>958</v>
      </c>
      <c r="H417" s="1">
        <v>13</v>
      </c>
      <c r="I417" s="1">
        <v>108243</v>
      </c>
      <c r="J417" s="1">
        <v>20566</v>
      </c>
      <c r="K417" s="1">
        <v>96</v>
      </c>
      <c r="L417" s="1" t="s">
        <v>20</v>
      </c>
      <c r="M417" s="1" t="s">
        <v>117</v>
      </c>
      <c r="N417" s="6" t="s">
        <v>28</v>
      </c>
    </row>
    <row r="418" spans="1:14" x14ac:dyDescent="0.3">
      <c r="A418" s="5" t="s">
        <v>981</v>
      </c>
      <c r="B418" s="1" t="s">
        <v>224</v>
      </c>
      <c r="C418" s="1" t="s">
        <v>31</v>
      </c>
      <c r="D418" s="1">
        <v>40</v>
      </c>
      <c r="E418" s="1" t="s">
        <v>59</v>
      </c>
      <c r="F418" s="1" t="s">
        <v>60</v>
      </c>
      <c r="G418" s="1" t="s">
        <v>982</v>
      </c>
      <c r="H418" s="1">
        <v>0</v>
      </c>
      <c r="I418" s="1">
        <v>73433</v>
      </c>
      <c r="J418" s="1">
        <v>8812</v>
      </c>
      <c r="K418" s="1">
        <v>89</v>
      </c>
      <c r="L418" s="1" t="s">
        <v>69</v>
      </c>
      <c r="M418" s="1" t="s">
        <v>21</v>
      </c>
      <c r="N418" s="6" t="s">
        <v>50</v>
      </c>
    </row>
    <row r="419" spans="1:14" x14ac:dyDescent="0.3">
      <c r="A419" s="5" t="s">
        <v>983</v>
      </c>
      <c r="B419" s="1" t="s">
        <v>94</v>
      </c>
      <c r="C419" s="1" t="s">
        <v>16</v>
      </c>
      <c r="D419" s="1">
        <v>27</v>
      </c>
      <c r="E419" s="1" t="s">
        <v>38</v>
      </c>
      <c r="F419" s="1" t="s">
        <v>48</v>
      </c>
      <c r="G419" s="1" t="s">
        <v>984</v>
      </c>
      <c r="H419" s="1">
        <v>6</v>
      </c>
      <c r="I419" s="1">
        <v>112417</v>
      </c>
      <c r="J419" s="1">
        <v>17987</v>
      </c>
      <c r="K419" s="1">
        <v>86</v>
      </c>
      <c r="L419" s="1" t="s">
        <v>20</v>
      </c>
      <c r="M419" s="1" t="s">
        <v>21</v>
      </c>
      <c r="N419" s="6" t="s">
        <v>50</v>
      </c>
    </row>
    <row r="420" spans="1:14" x14ac:dyDescent="0.3">
      <c r="A420" s="5" t="s">
        <v>985</v>
      </c>
      <c r="B420" s="1" t="s">
        <v>597</v>
      </c>
      <c r="C420" s="1" t="s">
        <v>31</v>
      </c>
      <c r="D420" s="1">
        <v>40</v>
      </c>
      <c r="E420" s="1" t="s">
        <v>32</v>
      </c>
      <c r="F420" s="1" t="s">
        <v>48</v>
      </c>
      <c r="G420" s="1" t="s">
        <v>986</v>
      </c>
      <c r="H420" s="1">
        <v>4</v>
      </c>
      <c r="I420" s="1">
        <v>59146</v>
      </c>
      <c r="J420" s="1">
        <v>5915</v>
      </c>
      <c r="K420" s="1">
        <v>94</v>
      </c>
      <c r="L420" s="1" t="s">
        <v>34</v>
      </c>
      <c r="M420" s="1" t="s">
        <v>21</v>
      </c>
      <c r="N420" s="6" t="s">
        <v>22</v>
      </c>
    </row>
    <row r="421" spans="1:14" x14ac:dyDescent="0.3">
      <c r="A421" s="5" t="s">
        <v>987</v>
      </c>
      <c r="B421" s="1" t="s">
        <v>820</v>
      </c>
      <c r="C421" s="1" t="s">
        <v>31</v>
      </c>
      <c r="D421" s="1">
        <v>30</v>
      </c>
      <c r="E421" s="1" t="s">
        <v>47</v>
      </c>
      <c r="F421" s="1" t="s">
        <v>48</v>
      </c>
      <c r="G421" s="1" t="s">
        <v>988</v>
      </c>
      <c r="H421" s="1">
        <v>7</v>
      </c>
      <c r="I421" s="1">
        <v>88362</v>
      </c>
      <c r="J421" s="1">
        <v>4418</v>
      </c>
      <c r="K421" s="1">
        <v>81</v>
      </c>
      <c r="L421" s="1" t="s">
        <v>34</v>
      </c>
      <c r="M421" s="1" t="s">
        <v>21</v>
      </c>
      <c r="N421" s="6" t="s">
        <v>22</v>
      </c>
    </row>
    <row r="422" spans="1:14" x14ac:dyDescent="0.3">
      <c r="A422" s="5" t="s">
        <v>989</v>
      </c>
      <c r="B422" s="1" t="s">
        <v>707</v>
      </c>
      <c r="C422" s="1" t="s">
        <v>16</v>
      </c>
      <c r="D422" s="1">
        <v>41</v>
      </c>
      <c r="E422" s="1" t="s">
        <v>47</v>
      </c>
      <c r="F422" s="1" t="s">
        <v>60</v>
      </c>
      <c r="G422" s="1" t="s">
        <v>605</v>
      </c>
      <c r="H422" s="1">
        <v>10</v>
      </c>
      <c r="I422" s="1">
        <v>26732</v>
      </c>
      <c r="J422" s="1">
        <v>1871</v>
      </c>
      <c r="K422" s="1">
        <v>88</v>
      </c>
      <c r="L422" s="1" t="s">
        <v>69</v>
      </c>
      <c r="M422" s="1" t="s">
        <v>21</v>
      </c>
      <c r="N422" s="6" t="s">
        <v>44</v>
      </c>
    </row>
    <row r="423" spans="1:14" x14ac:dyDescent="0.3">
      <c r="A423" s="5" t="s">
        <v>990</v>
      </c>
      <c r="B423" s="1" t="s">
        <v>668</v>
      </c>
      <c r="C423" s="1" t="s">
        <v>16</v>
      </c>
      <c r="D423" s="1">
        <v>46</v>
      </c>
      <c r="E423" s="1" t="s">
        <v>38</v>
      </c>
      <c r="F423" s="1" t="s">
        <v>67</v>
      </c>
      <c r="G423" s="1" t="s">
        <v>991</v>
      </c>
      <c r="H423" s="1">
        <v>12</v>
      </c>
      <c r="I423" s="1">
        <v>74577</v>
      </c>
      <c r="J423" s="1">
        <v>5220</v>
      </c>
      <c r="K423" s="1">
        <v>88</v>
      </c>
      <c r="L423" s="1" t="s">
        <v>20</v>
      </c>
      <c r="M423" s="1" t="s">
        <v>21</v>
      </c>
      <c r="N423" s="6" t="s">
        <v>44</v>
      </c>
    </row>
    <row r="424" spans="1:14" x14ac:dyDescent="0.3">
      <c r="A424" s="5" t="s">
        <v>992</v>
      </c>
      <c r="B424" s="1" t="s">
        <v>993</v>
      </c>
      <c r="C424" s="1" t="s">
        <v>16</v>
      </c>
      <c r="D424" s="1">
        <v>43</v>
      </c>
      <c r="E424" s="1" t="s">
        <v>17</v>
      </c>
      <c r="F424" s="1" t="s">
        <v>75</v>
      </c>
      <c r="G424" s="1" t="s">
        <v>994</v>
      </c>
      <c r="H424" s="1">
        <v>0</v>
      </c>
      <c r="I424" s="1">
        <v>95510</v>
      </c>
      <c r="J424" s="1">
        <v>19102</v>
      </c>
      <c r="K424" s="1">
        <v>91</v>
      </c>
      <c r="L424" s="1" t="s">
        <v>69</v>
      </c>
      <c r="M424" s="1" t="s">
        <v>21</v>
      </c>
      <c r="N424" s="6" t="s">
        <v>22</v>
      </c>
    </row>
    <row r="425" spans="1:14" x14ac:dyDescent="0.3">
      <c r="A425" s="5" t="s">
        <v>995</v>
      </c>
      <c r="B425" s="1" t="s">
        <v>996</v>
      </c>
      <c r="C425" s="1" t="s">
        <v>31</v>
      </c>
      <c r="D425" s="1">
        <v>45</v>
      </c>
      <c r="E425" s="1" t="s">
        <v>25</v>
      </c>
      <c r="F425" s="1" t="s">
        <v>26</v>
      </c>
      <c r="G425" s="1" t="s">
        <v>997</v>
      </c>
      <c r="H425" s="1">
        <v>12</v>
      </c>
      <c r="I425" s="1">
        <v>31648</v>
      </c>
      <c r="J425" s="1">
        <v>2532</v>
      </c>
      <c r="K425" s="1">
        <v>94</v>
      </c>
      <c r="L425" s="1" t="s">
        <v>69</v>
      </c>
      <c r="M425" s="1" t="s">
        <v>21</v>
      </c>
      <c r="N425" s="6" t="s">
        <v>22</v>
      </c>
    </row>
    <row r="426" spans="1:14" x14ac:dyDescent="0.3">
      <c r="A426" s="5" t="s">
        <v>998</v>
      </c>
      <c r="B426" s="1" t="s">
        <v>766</v>
      </c>
      <c r="C426" s="1" t="s">
        <v>31</v>
      </c>
      <c r="D426" s="1">
        <v>50</v>
      </c>
      <c r="E426" s="1" t="s">
        <v>25</v>
      </c>
      <c r="F426" s="1" t="s">
        <v>26</v>
      </c>
      <c r="G426" s="1" t="s">
        <v>999</v>
      </c>
      <c r="H426" s="1">
        <v>7</v>
      </c>
      <c r="I426" s="1">
        <v>64758</v>
      </c>
      <c r="J426" s="1">
        <v>11009</v>
      </c>
      <c r="K426" s="1">
        <v>83</v>
      </c>
      <c r="L426" s="1" t="s">
        <v>69</v>
      </c>
      <c r="M426" s="1" t="s">
        <v>21</v>
      </c>
      <c r="N426" s="6" t="s">
        <v>28</v>
      </c>
    </row>
    <row r="427" spans="1:14" x14ac:dyDescent="0.3">
      <c r="A427" s="5" t="s">
        <v>1000</v>
      </c>
      <c r="B427" s="1" t="s">
        <v>707</v>
      </c>
      <c r="C427" s="1" t="s">
        <v>16</v>
      </c>
      <c r="D427" s="1">
        <v>43</v>
      </c>
      <c r="E427" s="1" t="s">
        <v>59</v>
      </c>
      <c r="F427" s="1" t="s">
        <v>48</v>
      </c>
      <c r="G427" s="1" t="s">
        <v>623</v>
      </c>
      <c r="H427" s="1">
        <v>10</v>
      </c>
      <c r="I427" s="1">
        <v>26467</v>
      </c>
      <c r="J427" s="1">
        <v>1588</v>
      </c>
      <c r="K427" s="1">
        <v>80</v>
      </c>
      <c r="L427" s="1" t="s">
        <v>69</v>
      </c>
      <c r="M427" s="1" t="s">
        <v>21</v>
      </c>
      <c r="N427" s="6" t="s">
        <v>35</v>
      </c>
    </row>
    <row r="428" spans="1:14" x14ac:dyDescent="0.3">
      <c r="A428" s="5" t="s">
        <v>1001</v>
      </c>
      <c r="B428" s="1" t="s">
        <v>248</v>
      </c>
      <c r="C428" s="1" t="s">
        <v>16</v>
      </c>
      <c r="D428" s="1">
        <v>28</v>
      </c>
      <c r="E428" s="1" t="s">
        <v>38</v>
      </c>
      <c r="F428" s="1" t="s">
        <v>75</v>
      </c>
      <c r="G428" s="1" t="s">
        <v>1002</v>
      </c>
      <c r="H428" s="1">
        <v>4</v>
      </c>
      <c r="I428" s="1">
        <v>66553</v>
      </c>
      <c r="J428" s="1">
        <v>4659</v>
      </c>
      <c r="K428" s="1">
        <v>84</v>
      </c>
      <c r="L428" s="1" t="s">
        <v>40</v>
      </c>
      <c r="M428" s="1" t="s">
        <v>21</v>
      </c>
      <c r="N428" s="6" t="s">
        <v>28</v>
      </c>
    </row>
    <row r="429" spans="1:14" x14ac:dyDescent="0.3">
      <c r="A429" s="5" t="s">
        <v>1003</v>
      </c>
      <c r="B429" s="1" t="s">
        <v>1004</v>
      </c>
      <c r="C429" s="1" t="s">
        <v>31</v>
      </c>
      <c r="D429" s="1">
        <v>27</v>
      </c>
      <c r="E429" s="1" t="s">
        <v>17</v>
      </c>
      <c r="F429" s="1" t="s">
        <v>26</v>
      </c>
      <c r="G429" s="1" t="s">
        <v>1005</v>
      </c>
      <c r="H429" s="1">
        <v>7</v>
      </c>
      <c r="I429" s="1">
        <v>108930</v>
      </c>
      <c r="J429" s="1">
        <v>15250</v>
      </c>
      <c r="K429" s="1">
        <v>86</v>
      </c>
      <c r="L429" s="1" t="s">
        <v>20</v>
      </c>
      <c r="M429" s="1" t="s">
        <v>21</v>
      </c>
      <c r="N429" s="6" t="s">
        <v>50</v>
      </c>
    </row>
    <row r="430" spans="1:14" x14ac:dyDescent="0.3">
      <c r="A430" s="5" t="s">
        <v>1006</v>
      </c>
      <c r="B430" s="1" t="s">
        <v>330</v>
      </c>
      <c r="C430" s="1" t="s">
        <v>31</v>
      </c>
      <c r="D430" s="1">
        <v>27</v>
      </c>
      <c r="E430" s="1" t="s">
        <v>25</v>
      </c>
      <c r="F430" s="1" t="s">
        <v>18</v>
      </c>
      <c r="G430" s="1" t="s">
        <v>519</v>
      </c>
      <c r="H430" s="1">
        <v>15</v>
      </c>
      <c r="I430" s="1">
        <v>50264</v>
      </c>
      <c r="J430" s="1">
        <v>2513</v>
      </c>
      <c r="K430" s="1">
        <v>86</v>
      </c>
      <c r="L430" s="1" t="s">
        <v>40</v>
      </c>
      <c r="M430" s="1" t="s">
        <v>21</v>
      </c>
      <c r="N430" s="6" t="s">
        <v>28</v>
      </c>
    </row>
    <row r="431" spans="1:14" x14ac:dyDescent="0.3">
      <c r="A431" s="5" t="s">
        <v>1007</v>
      </c>
      <c r="B431" s="1" t="s">
        <v>389</v>
      </c>
      <c r="C431" s="1" t="s">
        <v>31</v>
      </c>
      <c r="D431" s="1">
        <v>31</v>
      </c>
      <c r="E431" s="1" t="s">
        <v>47</v>
      </c>
      <c r="F431" s="1" t="s">
        <v>18</v>
      </c>
      <c r="G431" s="1" t="s">
        <v>1008</v>
      </c>
      <c r="H431" s="1">
        <v>15</v>
      </c>
      <c r="I431" s="1">
        <v>29067</v>
      </c>
      <c r="J431" s="1">
        <v>3488</v>
      </c>
      <c r="K431" s="1">
        <v>95</v>
      </c>
      <c r="L431" s="1" t="s">
        <v>40</v>
      </c>
      <c r="M431" s="1" t="s">
        <v>21</v>
      </c>
      <c r="N431" s="6" t="s">
        <v>50</v>
      </c>
    </row>
    <row r="432" spans="1:14" x14ac:dyDescent="0.3">
      <c r="A432" s="5" t="s">
        <v>1009</v>
      </c>
      <c r="B432" s="1" t="s">
        <v>97</v>
      </c>
      <c r="C432" s="1" t="s">
        <v>31</v>
      </c>
      <c r="D432" s="1">
        <v>32</v>
      </c>
      <c r="E432" s="1" t="s">
        <v>38</v>
      </c>
      <c r="F432" s="1" t="s">
        <v>26</v>
      </c>
      <c r="G432" s="1" t="s">
        <v>1010</v>
      </c>
      <c r="H432" s="1">
        <v>3</v>
      </c>
      <c r="I432" s="1">
        <v>103208</v>
      </c>
      <c r="J432" s="1">
        <v>11353</v>
      </c>
      <c r="K432" s="1">
        <v>81</v>
      </c>
      <c r="L432" s="1" t="s">
        <v>40</v>
      </c>
      <c r="M432" s="1" t="s">
        <v>21</v>
      </c>
      <c r="N432" s="6" t="s">
        <v>44</v>
      </c>
    </row>
    <row r="433" spans="1:14" x14ac:dyDescent="0.3">
      <c r="A433" s="5" t="s">
        <v>1011</v>
      </c>
      <c r="B433" s="1" t="s">
        <v>863</v>
      </c>
      <c r="C433" s="1" t="s">
        <v>31</v>
      </c>
      <c r="D433" s="1">
        <v>40</v>
      </c>
      <c r="E433" s="1" t="s">
        <v>32</v>
      </c>
      <c r="F433" s="1" t="s">
        <v>67</v>
      </c>
      <c r="G433" s="1" t="s">
        <v>1012</v>
      </c>
      <c r="H433" s="1">
        <v>5</v>
      </c>
      <c r="I433" s="1">
        <v>60457</v>
      </c>
      <c r="J433" s="1">
        <v>10278</v>
      </c>
      <c r="K433" s="1">
        <v>77</v>
      </c>
      <c r="L433" s="1" t="s">
        <v>40</v>
      </c>
      <c r="M433" s="1" t="s">
        <v>21</v>
      </c>
      <c r="N433" s="6" t="s">
        <v>44</v>
      </c>
    </row>
    <row r="434" spans="1:14" x14ac:dyDescent="0.3">
      <c r="A434" s="5" t="s">
        <v>1013</v>
      </c>
      <c r="B434" s="1" t="s">
        <v>382</v>
      </c>
      <c r="C434" s="1" t="s">
        <v>31</v>
      </c>
      <c r="D434" s="1">
        <v>38</v>
      </c>
      <c r="E434" s="1" t="s">
        <v>47</v>
      </c>
      <c r="F434" s="1" t="s">
        <v>60</v>
      </c>
      <c r="G434" s="1" t="s">
        <v>1014</v>
      </c>
      <c r="H434" s="1">
        <v>10</v>
      </c>
      <c r="I434" s="1">
        <v>35734</v>
      </c>
      <c r="J434" s="1">
        <v>5360</v>
      </c>
      <c r="K434" s="1">
        <v>88</v>
      </c>
      <c r="L434" s="1" t="s">
        <v>20</v>
      </c>
      <c r="M434" s="1" t="s">
        <v>21</v>
      </c>
      <c r="N434" s="6" t="s">
        <v>22</v>
      </c>
    </row>
    <row r="435" spans="1:14" x14ac:dyDescent="0.3">
      <c r="A435" s="5" t="s">
        <v>1015</v>
      </c>
      <c r="B435" s="1" t="s">
        <v>251</v>
      </c>
      <c r="C435" s="1" t="s">
        <v>31</v>
      </c>
      <c r="D435" s="1">
        <v>47</v>
      </c>
      <c r="E435" s="1" t="s">
        <v>38</v>
      </c>
      <c r="F435" s="1" t="s">
        <v>85</v>
      </c>
      <c r="G435" s="1" t="s">
        <v>1016</v>
      </c>
      <c r="H435" s="1">
        <v>4</v>
      </c>
      <c r="I435" s="1">
        <v>55513</v>
      </c>
      <c r="J435" s="1">
        <v>2776</v>
      </c>
      <c r="K435" s="1">
        <v>88</v>
      </c>
      <c r="L435" s="1" t="s">
        <v>40</v>
      </c>
      <c r="M435" s="1" t="s">
        <v>21</v>
      </c>
      <c r="N435" s="6" t="s">
        <v>28</v>
      </c>
    </row>
    <row r="436" spans="1:14" x14ac:dyDescent="0.3">
      <c r="A436" s="5" t="s">
        <v>1017</v>
      </c>
      <c r="B436" s="1" t="s">
        <v>176</v>
      </c>
      <c r="C436" s="1" t="s">
        <v>31</v>
      </c>
      <c r="D436" s="1">
        <v>46</v>
      </c>
      <c r="E436" s="1" t="s">
        <v>38</v>
      </c>
      <c r="F436" s="1" t="s">
        <v>60</v>
      </c>
      <c r="G436" s="1" t="s">
        <v>1018</v>
      </c>
      <c r="H436" s="1">
        <v>15</v>
      </c>
      <c r="I436" s="1">
        <v>84513</v>
      </c>
      <c r="J436" s="1">
        <v>4226</v>
      </c>
      <c r="K436" s="1">
        <v>82</v>
      </c>
      <c r="L436" s="1" t="s">
        <v>34</v>
      </c>
      <c r="M436" s="1" t="s">
        <v>21</v>
      </c>
      <c r="N436" s="6" t="s">
        <v>28</v>
      </c>
    </row>
    <row r="437" spans="1:14" x14ac:dyDescent="0.3">
      <c r="A437" s="5" t="s">
        <v>1019</v>
      </c>
      <c r="B437" s="1" t="s">
        <v>190</v>
      </c>
      <c r="C437" s="1" t="s">
        <v>16</v>
      </c>
      <c r="D437" s="1">
        <v>23</v>
      </c>
      <c r="E437" s="1" t="s">
        <v>47</v>
      </c>
      <c r="F437" s="1" t="s">
        <v>18</v>
      </c>
      <c r="G437" s="1" t="s">
        <v>1020</v>
      </c>
      <c r="H437" s="1">
        <v>12</v>
      </c>
      <c r="I437" s="1">
        <v>55812</v>
      </c>
      <c r="J437" s="1">
        <v>7814</v>
      </c>
      <c r="K437" s="1">
        <v>79</v>
      </c>
      <c r="L437" s="1" t="s">
        <v>40</v>
      </c>
      <c r="M437" s="1" t="s">
        <v>21</v>
      </c>
      <c r="N437" s="6" t="s">
        <v>28</v>
      </c>
    </row>
    <row r="438" spans="1:14" x14ac:dyDescent="0.3">
      <c r="A438" s="5" t="s">
        <v>1021</v>
      </c>
      <c r="B438" s="1" t="s">
        <v>251</v>
      </c>
      <c r="C438" s="1" t="s">
        <v>31</v>
      </c>
      <c r="D438" s="1">
        <v>25</v>
      </c>
      <c r="E438" s="1" t="s">
        <v>25</v>
      </c>
      <c r="F438" s="1" t="s">
        <v>67</v>
      </c>
      <c r="G438" s="1" t="s">
        <v>1022</v>
      </c>
      <c r="H438" s="1">
        <v>10</v>
      </c>
      <c r="I438" s="1">
        <v>100108</v>
      </c>
      <c r="J438" s="1">
        <v>19021</v>
      </c>
      <c r="K438" s="1">
        <v>78</v>
      </c>
      <c r="L438" s="1" t="s">
        <v>34</v>
      </c>
      <c r="M438" s="1" t="s">
        <v>21</v>
      </c>
      <c r="N438" s="6" t="s">
        <v>28</v>
      </c>
    </row>
    <row r="439" spans="1:14" x14ac:dyDescent="0.3">
      <c r="A439" s="5" t="s">
        <v>1023</v>
      </c>
      <c r="B439" s="1" t="s">
        <v>211</v>
      </c>
      <c r="C439" s="1" t="s">
        <v>31</v>
      </c>
      <c r="D439" s="1">
        <v>25</v>
      </c>
      <c r="E439" s="1" t="s">
        <v>32</v>
      </c>
      <c r="F439" s="1" t="s">
        <v>85</v>
      </c>
      <c r="G439" s="1" t="s">
        <v>1024</v>
      </c>
      <c r="H439" s="1">
        <v>6</v>
      </c>
      <c r="I439" s="1">
        <v>54361</v>
      </c>
      <c r="J439" s="1">
        <v>9241</v>
      </c>
      <c r="K439" s="1">
        <v>78</v>
      </c>
      <c r="L439" s="1" t="s">
        <v>40</v>
      </c>
      <c r="M439" s="1" t="s">
        <v>21</v>
      </c>
      <c r="N439" s="6" t="s">
        <v>44</v>
      </c>
    </row>
    <row r="440" spans="1:14" x14ac:dyDescent="0.3">
      <c r="A440" s="5" t="s">
        <v>1025</v>
      </c>
      <c r="B440" s="1" t="s">
        <v>190</v>
      </c>
      <c r="C440" s="1" t="s">
        <v>31</v>
      </c>
      <c r="D440" s="1">
        <v>50</v>
      </c>
      <c r="E440" s="1" t="s">
        <v>17</v>
      </c>
      <c r="F440" s="1" t="s">
        <v>67</v>
      </c>
      <c r="G440" s="1" t="s">
        <v>403</v>
      </c>
      <c r="H440" s="1">
        <v>6</v>
      </c>
      <c r="I440" s="1">
        <v>59400</v>
      </c>
      <c r="J440" s="1">
        <v>11286</v>
      </c>
      <c r="K440" s="1">
        <v>87</v>
      </c>
      <c r="L440" s="1" t="s">
        <v>34</v>
      </c>
      <c r="M440" s="1" t="s">
        <v>21</v>
      </c>
      <c r="N440" s="6" t="s">
        <v>28</v>
      </c>
    </row>
    <row r="441" spans="1:14" x14ac:dyDescent="0.3">
      <c r="A441" s="5" t="s">
        <v>1026</v>
      </c>
      <c r="B441" s="1" t="s">
        <v>124</v>
      </c>
      <c r="C441" s="1" t="s">
        <v>31</v>
      </c>
      <c r="D441" s="1">
        <v>41</v>
      </c>
      <c r="E441" s="1" t="s">
        <v>38</v>
      </c>
      <c r="F441" s="1" t="s">
        <v>18</v>
      </c>
      <c r="G441" s="1" t="s">
        <v>1027</v>
      </c>
      <c r="H441" s="1">
        <v>7</v>
      </c>
      <c r="I441" s="1">
        <v>81756</v>
      </c>
      <c r="J441" s="1">
        <v>16351</v>
      </c>
      <c r="K441" s="1">
        <v>87</v>
      </c>
      <c r="L441" s="1" t="s">
        <v>69</v>
      </c>
      <c r="M441" s="1" t="s">
        <v>21</v>
      </c>
      <c r="N441" s="6" t="s">
        <v>22</v>
      </c>
    </row>
    <row r="442" spans="1:14" x14ac:dyDescent="0.3">
      <c r="A442" s="5" t="s">
        <v>1028</v>
      </c>
      <c r="B442" s="1" t="s">
        <v>382</v>
      </c>
      <c r="C442" s="1" t="s">
        <v>31</v>
      </c>
      <c r="D442" s="1">
        <v>30</v>
      </c>
      <c r="E442" s="1" t="s">
        <v>59</v>
      </c>
      <c r="F442" s="1" t="s">
        <v>67</v>
      </c>
      <c r="G442" s="1" t="s">
        <v>1029</v>
      </c>
      <c r="H442" s="1">
        <v>1</v>
      </c>
      <c r="I442" s="1">
        <v>48967</v>
      </c>
      <c r="J442" s="1">
        <v>8324</v>
      </c>
      <c r="K442" s="1">
        <v>92</v>
      </c>
      <c r="L442" s="1" t="s">
        <v>20</v>
      </c>
      <c r="M442" s="1" t="s">
        <v>21</v>
      </c>
      <c r="N442" s="6" t="s">
        <v>50</v>
      </c>
    </row>
    <row r="443" spans="1:14" x14ac:dyDescent="0.3">
      <c r="A443" s="5" t="s">
        <v>1030</v>
      </c>
      <c r="B443" s="1" t="s">
        <v>430</v>
      </c>
      <c r="C443" s="1" t="s">
        <v>16</v>
      </c>
      <c r="D443" s="1">
        <v>50</v>
      </c>
      <c r="E443" s="1" t="s">
        <v>38</v>
      </c>
      <c r="F443" s="1" t="s">
        <v>48</v>
      </c>
      <c r="G443" s="1" t="s">
        <v>1031</v>
      </c>
      <c r="H443" s="1">
        <v>9</v>
      </c>
      <c r="I443" s="1">
        <v>35348</v>
      </c>
      <c r="J443" s="1">
        <v>3181</v>
      </c>
      <c r="K443" s="1">
        <v>77</v>
      </c>
      <c r="L443" s="1" t="s">
        <v>40</v>
      </c>
      <c r="M443" s="1" t="s">
        <v>21</v>
      </c>
      <c r="N443" s="6" t="s">
        <v>50</v>
      </c>
    </row>
    <row r="444" spans="1:14" x14ac:dyDescent="0.3">
      <c r="A444" s="5" t="s">
        <v>1032</v>
      </c>
      <c r="B444" s="1" t="s">
        <v>707</v>
      </c>
      <c r="C444" s="1" t="s">
        <v>16</v>
      </c>
      <c r="D444" s="1">
        <v>35</v>
      </c>
      <c r="E444" s="1" t="s">
        <v>32</v>
      </c>
      <c r="F444" s="1" t="s">
        <v>48</v>
      </c>
      <c r="G444" s="1" t="s">
        <v>1033</v>
      </c>
      <c r="H444" s="1">
        <v>13</v>
      </c>
      <c r="I444" s="1">
        <v>61286</v>
      </c>
      <c r="J444" s="1">
        <v>11031</v>
      </c>
      <c r="K444" s="1">
        <v>75</v>
      </c>
      <c r="L444" s="1" t="s">
        <v>40</v>
      </c>
      <c r="M444" s="1" t="s">
        <v>21</v>
      </c>
      <c r="N444" s="6" t="s">
        <v>50</v>
      </c>
    </row>
    <row r="445" spans="1:14" x14ac:dyDescent="0.3">
      <c r="A445" s="5" t="s">
        <v>1034</v>
      </c>
      <c r="B445" s="1" t="s">
        <v>211</v>
      </c>
      <c r="C445" s="1" t="s">
        <v>31</v>
      </c>
      <c r="D445" s="1">
        <v>48</v>
      </c>
      <c r="E445" s="1" t="s">
        <v>32</v>
      </c>
      <c r="F445" s="1" t="s">
        <v>18</v>
      </c>
      <c r="G445" s="1" t="s">
        <v>1035</v>
      </c>
      <c r="H445" s="1">
        <v>15</v>
      </c>
      <c r="I445" s="1">
        <v>112162</v>
      </c>
      <c r="J445" s="1">
        <v>5608</v>
      </c>
      <c r="K445" s="1">
        <v>96</v>
      </c>
      <c r="L445" s="1" t="s">
        <v>20</v>
      </c>
      <c r="M445" s="1" t="s">
        <v>117</v>
      </c>
      <c r="N445" s="6" t="s">
        <v>35</v>
      </c>
    </row>
    <row r="446" spans="1:14" x14ac:dyDescent="0.3">
      <c r="A446" s="5" t="s">
        <v>1036</v>
      </c>
      <c r="B446" s="1" t="s">
        <v>50</v>
      </c>
      <c r="C446" s="1" t="s">
        <v>31</v>
      </c>
      <c r="D446" s="1">
        <v>25</v>
      </c>
      <c r="E446" s="1" t="s">
        <v>47</v>
      </c>
      <c r="F446" s="1" t="s">
        <v>18</v>
      </c>
      <c r="G446" s="1" t="s">
        <v>1037</v>
      </c>
      <c r="H446" s="1">
        <v>1</v>
      </c>
      <c r="I446" s="1">
        <v>116884</v>
      </c>
      <c r="J446" s="1">
        <v>17533</v>
      </c>
      <c r="K446" s="1">
        <v>96</v>
      </c>
      <c r="L446" s="1" t="s">
        <v>40</v>
      </c>
      <c r="M446" s="1" t="s">
        <v>21</v>
      </c>
      <c r="N446" s="6" t="s">
        <v>28</v>
      </c>
    </row>
    <row r="447" spans="1:14" x14ac:dyDescent="0.3">
      <c r="A447" s="5" t="s">
        <v>1038</v>
      </c>
      <c r="B447" s="1" t="s">
        <v>698</v>
      </c>
      <c r="C447" s="1" t="s">
        <v>16</v>
      </c>
      <c r="D447" s="1">
        <v>43</v>
      </c>
      <c r="E447" s="1" t="s">
        <v>32</v>
      </c>
      <c r="F447" s="1" t="s">
        <v>67</v>
      </c>
      <c r="G447" s="1" t="s">
        <v>1039</v>
      </c>
      <c r="H447" s="1">
        <v>0</v>
      </c>
      <c r="I447" s="1">
        <v>29695</v>
      </c>
      <c r="J447" s="1">
        <v>5345</v>
      </c>
      <c r="K447" s="1">
        <v>92</v>
      </c>
      <c r="L447" s="1" t="s">
        <v>34</v>
      </c>
      <c r="M447" s="1" t="s">
        <v>21</v>
      </c>
      <c r="N447" s="6" t="s">
        <v>22</v>
      </c>
    </row>
    <row r="448" spans="1:14" x14ac:dyDescent="0.3">
      <c r="A448" s="5" t="s">
        <v>1040</v>
      </c>
      <c r="B448" s="1" t="s">
        <v>30</v>
      </c>
      <c r="C448" s="1" t="s">
        <v>31</v>
      </c>
      <c r="D448" s="1">
        <v>31</v>
      </c>
      <c r="E448" s="1" t="s">
        <v>32</v>
      </c>
      <c r="F448" s="1" t="s">
        <v>85</v>
      </c>
      <c r="G448" s="1" t="s">
        <v>1041</v>
      </c>
      <c r="H448" s="1">
        <v>13</v>
      </c>
      <c r="I448" s="1">
        <v>60902</v>
      </c>
      <c r="J448" s="1">
        <v>7917</v>
      </c>
      <c r="K448" s="1">
        <v>94</v>
      </c>
      <c r="L448" s="1" t="s">
        <v>34</v>
      </c>
      <c r="M448" s="1" t="s">
        <v>21</v>
      </c>
      <c r="N448" s="6" t="s">
        <v>22</v>
      </c>
    </row>
    <row r="449" spans="1:14" x14ac:dyDescent="0.3">
      <c r="A449" s="5" t="s">
        <v>1042</v>
      </c>
      <c r="B449" s="1" t="s">
        <v>242</v>
      </c>
      <c r="C449" s="1" t="s">
        <v>16</v>
      </c>
      <c r="D449" s="1">
        <v>42</v>
      </c>
      <c r="E449" s="1" t="s">
        <v>38</v>
      </c>
      <c r="F449" s="1" t="s">
        <v>85</v>
      </c>
      <c r="G449" s="1" t="s">
        <v>1043</v>
      </c>
      <c r="H449" s="1">
        <v>14</v>
      </c>
      <c r="I449" s="1">
        <v>38760</v>
      </c>
      <c r="J449" s="1">
        <v>5814</v>
      </c>
      <c r="K449" s="1">
        <v>87</v>
      </c>
      <c r="L449" s="1" t="s">
        <v>40</v>
      </c>
      <c r="M449" s="1" t="s">
        <v>21</v>
      </c>
      <c r="N449" s="6" t="s">
        <v>22</v>
      </c>
    </row>
    <row r="450" spans="1:14" x14ac:dyDescent="0.3">
      <c r="A450" s="5" t="s">
        <v>1044</v>
      </c>
      <c r="B450" s="1" t="s">
        <v>820</v>
      </c>
      <c r="C450" s="1" t="s">
        <v>16</v>
      </c>
      <c r="D450" s="1">
        <v>29</v>
      </c>
      <c r="E450" s="1" t="s">
        <v>38</v>
      </c>
      <c r="F450" s="1" t="s">
        <v>18</v>
      </c>
      <c r="G450" s="1" t="s">
        <v>1045</v>
      </c>
      <c r="H450" s="1">
        <v>11</v>
      </c>
      <c r="I450" s="1">
        <v>94154</v>
      </c>
      <c r="J450" s="1">
        <v>8474</v>
      </c>
      <c r="K450" s="1">
        <v>89</v>
      </c>
      <c r="L450" s="1" t="s">
        <v>69</v>
      </c>
      <c r="M450" s="1" t="s">
        <v>21</v>
      </c>
      <c r="N450" s="6" t="s">
        <v>22</v>
      </c>
    </row>
    <row r="451" spans="1:14" x14ac:dyDescent="0.3">
      <c r="A451" s="5" t="s">
        <v>1046</v>
      </c>
      <c r="B451" s="1" t="s">
        <v>237</v>
      </c>
      <c r="C451" s="1" t="s">
        <v>16</v>
      </c>
      <c r="D451" s="1">
        <v>24</v>
      </c>
      <c r="E451" s="1" t="s">
        <v>59</v>
      </c>
      <c r="F451" s="1" t="s">
        <v>85</v>
      </c>
      <c r="G451" s="1" t="s">
        <v>1047</v>
      </c>
      <c r="H451" s="1">
        <v>12</v>
      </c>
      <c r="I451" s="1">
        <v>53537</v>
      </c>
      <c r="J451" s="1">
        <v>10707</v>
      </c>
      <c r="K451" s="1">
        <v>83</v>
      </c>
      <c r="L451" s="1" t="s">
        <v>20</v>
      </c>
      <c r="M451" s="1" t="s">
        <v>21</v>
      </c>
      <c r="N451" s="6" t="s">
        <v>50</v>
      </c>
    </row>
    <row r="452" spans="1:14" x14ac:dyDescent="0.3">
      <c r="A452" s="5" t="s">
        <v>1048</v>
      </c>
      <c r="B452" s="1" t="s">
        <v>184</v>
      </c>
      <c r="C452" s="1" t="s">
        <v>16</v>
      </c>
      <c r="D452" s="1">
        <v>29</v>
      </c>
      <c r="E452" s="1" t="s">
        <v>59</v>
      </c>
      <c r="F452" s="1" t="s">
        <v>60</v>
      </c>
      <c r="G452" s="1" t="s">
        <v>61</v>
      </c>
      <c r="H452" s="1">
        <v>15</v>
      </c>
      <c r="I452" s="1">
        <v>88283</v>
      </c>
      <c r="J452" s="1">
        <v>13242</v>
      </c>
      <c r="K452" s="1">
        <v>82</v>
      </c>
      <c r="L452" s="1" t="s">
        <v>20</v>
      </c>
      <c r="M452" s="1" t="s">
        <v>21</v>
      </c>
      <c r="N452" s="6" t="s">
        <v>44</v>
      </c>
    </row>
    <row r="453" spans="1:14" x14ac:dyDescent="0.3">
      <c r="A453" s="5" t="s">
        <v>1049</v>
      </c>
      <c r="B453" s="1" t="s">
        <v>1050</v>
      </c>
      <c r="C453" s="1" t="s">
        <v>16</v>
      </c>
      <c r="D453" s="1">
        <v>39</v>
      </c>
      <c r="E453" s="1" t="s">
        <v>38</v>
      </c>
      <c r="F453" s="1" t="s">
        <v>67</v>
      </c>
      <c r="G453" s="1" t="s">
        <v>1051</v>
      </c>
      <c r="H453" s="1">
        <v>3</v>
      </c>
      <c r="I453" s="1">
        <v>105443</v>
      </c>
      <c r="J453" s="1">
        <v>9490</v>
      </c>
      <c r="K453" s="1">
        <v>82</v>
      </c>
      <c r="L453" s="1" t="s">
        <v>40</v>
      </c>
      <c r="M453" s="1" t="s">
        <v>21</v>
      </c>
      <c r="N453" s="6" t="s">
        <v>35</v>
      </c>
    </row>
    <row r="454" spans="1:14" x14ac:dyDescent="0.3">
      <c r="A454" s="5" t="s">
        <v>1052</v>
      </c>
      <c r="B454" s="1" t="s">
        <v>407</v>
      </c>
      <c r="C454" s="1" t="s">
        <v>31</v>
      </c>
      <c r="D454" s="1">
        <v>43</v>
      </c>
      <c r="E454" s="1" t="s">
        <v>25</v>
      </c>
      <c r="F454" s="1" t="s">
        <v>26</v>
      </c>
      <c r="G454" s="1" t="s">
        <v>1053</v>
      </c>
      <c r="H454" s="1">
        <v>5</v>
      </c>
      <c r="I454" s="1">
        <v>111694</v>
      </c>
      <c r="J454" s="1">
        <v>10052</v>
      </c>
      <c r="K454" s="1">
        <v>100</v>
      </c>
      <c r="L454" s="1" t="s">
        <v>40</v>
      </c>
      <c r="M454" s="1" t="s">
        <v>21</v>
      </c>
      <c r="N454" s="6" t="s">
        <v>50</v>
      </c>
    </row>
    <row r="455" spans="1:14" x14ac:dyDescent="0.3">
      <c r="A455" s="5" t="s">
        <v>1054</v>
      </c>
      <c r="B455" s="1" t="s">
        <v>167</v>
      </c>
      <c r="C455" s="1" t="s">
        <v>16</v>
      </c>
      <c r="D455" s="1">
        <v>47</v>
      </c>
      <c r="E455" s="1" t="s">
        <v>59</v>
      </c>
      <c r="F455" s="1" t="s">
        <v>60</v>
      </c>
      <c r="G455" s="1" t="s">
        <v>1055</v>
      </c>
      <c r="H455" s="1">
        <v>12</v>
      </c>
      <c r="I455" s="1">
        <v>118317</v>
      </c>
      <c r="J455" s="1">
        <v>18931</v>
      </c>
      <c r="K455" s="1">
        <v>91</v>
      </c>
      <c r="L455" s="1" t="s">
        <v>20</v>
      </c>
      <c r="M455" s="1" t="s">
        <v>117</v>
      </c>
      <c r="N455" s="6" t="s">
        <v>35</v>
      </c>
    </row>
    <row r="456" spans="1:14" x14ac:dyDescent="0.3">
      <c r="A456" s="5" t="s">
        <v>1056</v>
      </c>
      <c r="B456" s="1" t="s">
        <v>392</v>
      </c>
      <c r="C456" s="1" t="s">
        <v>31</v>
      </c>
      <c r="D456" s="1">
        <v>34</v>
      </c>
      <c r="E456" s="1" t="s">
        <v>32</v>
      </c>
      <c r="F456" s="1" t="s">
        <v>75</v>
      </c>
      <c r="G456" s="1" t="s">
        <v>1057</v>
      </c>
      <c r="H456" s="1">
        <v>9</v>
      </c>
      <c r="I456" s="1">
        <v>77534</v>
      </c>
      <c r="J456" s="1">
        <v>4652</v>
      </c>
      <c r="K456" s="1">
        <v>88</v>
      </c>
      <c r="L456" s="1" t="s">
        <v>69</v>
      </c>
      <c r="M456" s="1" t="s">
        <v>21</v>
      </c>
      <c r="N456" s="6" t="s">
        <v>35</v>
      </c>
    </row>
    <row r="457" spans="1:14" x14ac:dyDescent="0.3">
      <c r="A457" s="5" t="s">
        <v>1058</v>
      </c>
      <c r="B457" s="1" t="s">
        <v>880</v>
      </c>
      <c r="C457" s="1" t="s">
        <v>16</v>
      </c>
      <c r="D457" s="1">
        <v>49</v>
      </c>
      <c r="E457" s="1" t="s">
        <v>25</v>
      </c>
      <c r="F457" s="1" t="s">
        <v>60</v>
      </c>
      <c r="G457" s="1" t="s">
        <v>328</v>
      </c>
      <c r="H457" s="1">
        <v>8</v>
      </c>
      <c r="I457" s="1">
        <v>53412</v>
      </c>
      <c r="J457" s="1">
        <v>9080</v>
      </c>
      <c r="K457" s="1">
        <v>94</v>
      </c>
      <c r="L457" s="1" t="s">
        <v>20</v>
      </c>
      <c r="M457" s="1" t="s">
        <v>117</v>
      </c>
      <c r="N457" s="6" t="s">
        <v>44</v>
      </c>
    </row>
    <row r="458" spans="1:14" x14ac:dyDescent="0.3">
      <c r="A458" s="5" t="s">
        <v>1059</v>
      </c>
      <c r="B458" s="1" t="s">
        <v>127</v>
      </c>
      <c r="C458" s="1" t="s">
        <v>31</v>
      </c>
      <c r="D458" s="1">
        <v>46</v>
      </c>
      <c r="E458" s="1" t="s">
        <v>17</v>
      </c>
      <c r="F458" s="1" t="s">
        <v>85</v>
      </c>
      <c r="G458" s="1" t="s">
        <v>1060</v>
      </c>
      <c r="H458" s="1">
        <v>9</v>
      </c>
      <c r="I458" s="1">
        <v>48777</v>
      </c>
      <c r="J458" s="1">
        <v>3902</v>
      </c>
      <c r="K458" s="1">
        <v>97</v>
      </c>
      <c r="L458" s="1" t="s">
        <v>20</v>
      </c>
      <c r="M458" s="1" t="s">
        <v>117</v>
      </c>
      <c r="N458" s="6" t="s">
        <v>28</v>
      </c>
    </row>
    <row r="459" spans="1:14" x14ac:dyDescent="0.3">
      <c r="A459" s="5" t="s">
        <v>1061</v>
      </c>
      <c r="B459" s="1" t="s">
        <v>820</v>
      </c>
      <c r="C459" s="1" t="s">
        <v>16</v>
      </c>
      <c r="D459" s="1">
        <v>42</v>
      </c>
      <c r="E459" s="1" t="s">
        <v>32</v>
      </c>
      <c r="F459" s="1" t="s">
        <v>18</v>
      </c>
      <c r="G459" s="1" t="s">
        <v>1062</v>
      </c>
      <c r="H459" s="1">
        <v>2</v>
      </c>
      <c r="I459" s="1">
        <v>79114</v>
      </c>
      <c r="J459" s="1">
        <v>10285</v>
      </c>
      <c r="K459" s="1">
        <v>88</v>
      </c>
      <c r="L459" s="1" t="s">
        <v>34</v>
      </c>
      <c r="M459" s="1" t="s">
        <v>21</v>
      </c>
      <c r="N459" s="6" t="s">
        <v>28</v>
      </c>
    </row>
    <row r="460" spans="1:14" x14ac:dyDescent="0.3">
      <c r="A460" s="5" t="s">
        <v>1063</v>
      </c>
      <c r="B460" s="1" t="s">
        <v>719</v>
      </c>
      <c r="C460" s="1" t="s">
        <v>31</v>
      </c>
      <c r="D460" s="1">
        <v>22</v>
      </c>
      <c r="E460" s="1" t="s">
        <v>17</v>
      </c>
      <c r="F460" s="1" t="s">
        <v>85</v>
      </c>
      <c r="G460" s="1" t="s">
        <v>162</v>
      </c>
      <c r="H460" s="1">
        <v>12</v>
      </c>
      <c r="I460" s="1">
        <v>117375</v>
      </c>
      <c r="J460" s="1">
        <v>8216</v>
      </c>
      <c r="K460" s="1">
        <v>99</v>
      </c>
      <c r="L460" s="1" t="s">
        <v>69</v>
      </c>
      <c r="M460" s="1" t="s">
        <v>21</v>
      </c>
      <c r="N460" s="6" t="s">
        <v>44</v>
      </c>
    </row>
    <row r="461" spans="1:14" x14ac:dyDescent="0.3">
      <c r="A461" s="5" t="s">
        <v>1064</v>
      </c>
      <c r="B461" s="1" t="s">
        <v>266</v>
      </c>
      <c r="C461" s="1" t="s">
        <v>16</v>
      </c>
      <c r="D461" s="1">
        <v>23</v>
      </c>
      <c r="E461" s="1" t="s">
        <v>17</v>
      </c>
      <c r="F461" s="1" t="s">
        <v>26</v>
      </c>
      <c r="G461" s="1" t="s">
        <v>1065</v>
      </c>
      <c r="H461" s="1">
        <v>6</v>
      </c>
      <c r="I461" s="1">
        <v>60027</v>
      </c>
      <c r="J461" s="1">
        <v>8404</v>
      </c>
      <c r="K461" s="1">
        <v>94</v>
      </c>
      <c r="L461" s="1" t="s">
        <v>34</v>
      </c>
      <c r="M461" s="1" t="s">
        <v>21</v>
      </c>
      <c r="N461" s="6" t="s">
        <v>44</v>
      </c>
    </row>
    <row r="462" spans="1:14" x14ac:dyDescent="0.3">
      <c r="A462" s="5" t="s">
        <v>1066</v>
      </c>
      <c r="B462" s="1" t="s">
        <v>91</v>
      </c>
      <c r="C462" s="1" t="s">
        <v>16</v>
      </c>
      <c r="D462" s="1">
        <v>33</v>
      </c>
      <c r="E462" s="1" t="s">
        <v>47</v>
      </c>
      <c r="F462" s="1" t="s">
        <v>85</v>
      </c>
      <c r="G462" s="1" t="s">
        <v>1067</v>
      </c>
      <c r="H462" s="1">
        <v>10</v>
      </c>
      <c r="I462" s="1">
        <v>49829</v>
      </c>
      <c r="J462" s="1">
        <v>4485</v>
      </c>
      <c r="K462" s="1">
        <v>76</v>
      </c>
      <c r="L462" s="1" t="s">
        <v>34</v>
      </c>
      <c r="M462" s="1" t="s">
        <v>21</v>
      </c>
      <c r="N462" s="6" t="s">
        <v>28</v>
      </c>
    </row>
    <row r="463" spans="1:14" x14ac:dyDescent="0.3">
      <c r="A463" s="5" t="s">
        <v>1068</v>
      </c>
      <c r="B463" s="1" t="s">
        <v>50</v>
      </c>
      <c r="C463" s="1" t="s">
        <v>31</v>
      </c>
      <c r="D463" s="1">
        <v>48</v>
      </c>
      <c r="E463" s="1" t="s">
        <v>17</v>
      </c>
      <c r="F463" s="1" t="s">
        <v>60</v>
      </c>
      <c r="G463" s="1" t="s">
        <v>1069</v>
      </c>
      <c r="H463" s="1">
        <v>13</v>
      </c>
      <c r="I463" s="1">
        <v>25964</v>
      </c>
      <c r="J463" s="1">
        <v>4674</v>
      </c>
      <c r="K463" s="1">
        <v>98</v>
      </c>
      <c r="L463" s="1" t="s">
        <v>34</v>
      </c>
      <c r="M463" s="1" t="s">
        <v>21</v>
      </c>
      <c r="N463" s="6" t="s">
        <v>44</v>
      </c>
    </row>
    <row r="464" spans="1:14" x14ac:dyDescent="0.3">
      <c r="A464" s="5" t="s">
        <v>1070</v>
      </c>
      <c r="B464" s="1" t="s">
        <v>1004</v>
      </c>
      <c r="C464" s="1" t="s">
        <v>31</v>
      </c>
      <c r="D464" s="1">
        <v>23</v>
      </c>
      <c r="E464" s="1" t="s">
        <v>32</v>
      </c>
      <c r="F464" s="1" t="s">
        <v>18</v>
      </c>
      <c r="G464" s="1" t="s">
        <v>1071</v>
      </c>
      <c r="H464" s="1">
        <v>10</v>
      </c>
      <c r="I464" s="1">
        <v>92138</v>
      </c>
      <c r="J464" s="1">
        <v>14742</v>
      </c>
      <c r="K464" s="1">
        <v>80</v>
      </c>
      <c r="L464" s="1" t="s">
        <v>69</v>
      </c>
      <c r="M464" s="1" t="s">
        <v>21</v>
      </c>
      <c r="N464" s="6" t="s">
        <v>35</v>
      </c>
    </row>
    <row r="465" spans="1:14" x14ac:dyDescent="0.3">
      <c r="A465" s="5" t="s">
        <v>1072</v>
      </c>
      <c r="B465" s="1" t="s">
        <v>257</v>
      </c>
      <c r="C465" s="1" t="s">
        <v>16</v>
      </c>
      <c r="D465" s="1">
        <v>45</v>
      </c>
      <c r="E465" s="1" t="s">
        <v>47</v>
      </c>
      <c r="F465" s="1" t="s">
        <v>67</v>
      </c>
      <c r="G465" s="1" t="s">
        <v>1073</v>
      </c>
      <c r="H465" s="1">
        <v>0</v>
      </c>
      <c r="I465" s="1">
        <v>119168</v>
      </c>
      <c r="J465" s="1">
        <v>17875</v>
      </c>
      <c r="K465" s="1">
        <v>98</v>
      </c>
      <c r="L465" s="1" t="s">
        <v>40</v>
      </c>
      <c r="M465" s="1" t="s">
        <v>21</v>
      </c>
      <c r="N465" s="6" t="s">
        <v>35</v>
      </c>
    </row>
    <row r="466" spans="1:14" x14ac:dyDescent="0.3">
      <c r="A466" s="5" t="s">
        <v>1074</v>
      </c>
      <c r="B466" s="1" t="s">
        <v>1075</v>
      </c>
      <c r="C466" s="1" t="s">
        <v>31</v>
      </c>
      <c r="D466" s="1">
        <v>50</v>
      </c>
      <c r="E466" s="1" t="s">
        <v>17</v>
      </c>
      <c r="F466" s="1" t="s">
        <v>67</v>
      </c>
      <c r="G466" s="1" t="s">
        <v>1076</v>
      </c>
      <c r="H466" s="1">
        <v>9</v>
      </c>
      <c r="I466" s="1">
        <v>33130</v>
      </c>
      <c r="J466" s="1">
        <v>4970</v>
      </c>
      <c r="K466" s="1">
        <v>82</v>
      </c>
      <c r="L466" s="1" t="s">
        <v>40</v>
      </c>
      <c r="M466" s="1" t="s">
        <v>21</v>
      </c>
      <c r="N466" s="6" t="s">
        <v>28</v>
      </c>
    </row>
    <row r="467" spans="1:14" x14ac:dyDescent="0.3">
      <c r="A467" s="5" t="s">
        <v>1077</v>
      </c>
      <c r="B467" s="1" t="s">
        <v>860</v>
      </c>
      <c r="C467" s="1" t="s">
        <v>31</v>
      </c>
      <c r="D467" s="1">
        <v>43</v>
      </c>
      <c r="E467" s="1" t="s">
        <v>32</v>
      </c>
      <c r="F467" s="1" t="s">
        <v>48</v>
      </c>
      <c r="G467" s="1" t="s">
        <v>1078</v>
      </c>
      <c r="H467" s="1">
        <v>0</v>
      </c>
      <c r="I467" s="1">
        <v>41151</v>
      </c>
      <c r="J467" s="1">
        <v>3704</v>
      </c>
      <c r="K467" s="1">
        <v>98</v>
      </c>
      <c r="L467" s="1" t="s">
        <v>34</v>
      </c>
      <c r="M467" s="1" t="s">
        <v>21</v>
      </c>
      <c r="N467" s="6" t="s">
        <v>22</v>
      </c>
    </row>
    <row r="468" spans="1:14" x14ac:dyDescent="0.3">
      <c r="A468" s="5" t="s">
        <v>1079</v>
      </c>
      <c r="B468" s="1" t="s">
        <v>305</v>
      </c>
      <c r="C468" s="1" t="s">
        <v>31</v>
      </c>
      <c r="D468" s="1">
        <v>41</v>
      </c>
      <c r="E468" s="1" t="s">
        <v>47</v>
      </c>
      <c r="F468" s="1" t="s">
        <v>75</v>
      </c>
      <c r="G468" s="1" t="s">
        <v>1080</v>
      </c>
      <c r="H468" s="1">
        <v>12</v>
      </c>
      <c r="I468" s="1">
        <v>61811</v>
      </c>
      <c r="J468" s="1">
        <v>6181</v>
      </c>
      <c r="K468" s="1">
        <v>97</v>
      </c>
      <c r="L468" s="1" t="s">
        <v>40</v>
      </c>
      <c r="M468" s="1" t="s">
        <v>21</v>
      </c>
      <c r="N468" s="6" t="s">
        <v>35</v>
      </c>
    </row>
    <row r="469" spans="1:14" x14ac:dyDescent="0.3">
      <c r="A469" s="5" t="s">
        <v>1081</v>
      </c>
      <c r="B469" s="1" t="s">
        <v>190</v>
      </c>
      <c r="C469" s="1" t="s">
        <v>16</v>
      </c>
      <c r="D469" s="1">
        <v>25</v>
      </c>
      <c r="E469" s="1" t="s">
        <v>25</v>
      </c>
      <c r="F469" s="1" t="s">
        <v>18</v>
      </c>
      <c r="G469" s="1" t="s">
        <v>705</v>
      </c>
      <c r="H469" s="1">
        <v>6</v>
      </c>
      <c r="I469" s="1">
        <v>107640</v>
      </c>
      <c r="J469" s="1">
        <v>15070</v>
      </c>
      <c r="K469" s="1">
        <v>90</v>
      </c>
      <c r="L469" s="1" t="s">
        <v>40</v>
      </c>
      <c r="M469" s="1" t="s">
        <v>21</v>
      </c>
      <c r="N469" s="6" t="s">
        <v>35</v>
      </c>
    </row>
    <row r="470" spans="1:14" x14ac:dyDescent="0.3">
      <c r="A470" s="5" t="s">
        <v>1082</v>
      </c>
      <c r="B470" s="1" t="s">
        <v>960</v>
      </c>
      <c r="C470" s="1" t="s">
        <v>31</v>
      </c>
      <c r="D470" s="1">
        <v>25</v>
      </c>
      <c r="E470" s="1" t="s">
        <v>17</v>
      </c>
      <c r="F470" s="1" t="s">
        <v>26</v>
      </c>
      <c r="G470" s="1" t="s">
        <v>1083</v>
      </c>
      <c r="H470" s="1">
        <v>7</v>
      </c>
      <c r="I470" s="1">
        <v>118620</v>
      </c>
      <c r="J470" s="1">
        <v>18979</v>
      </c>
      <c r="K470" s="1">
        <v>91</v>
      </c>
      <c r="L470" s="1" t="s">
        <v>69</v>
      </c>
      <c r="M470" s="1" t="s">
        <v>21</v>
      </c>
      <c r="N470" s="6" t="s">
        <v>28</v>
      </c>
    </row>
    <row r="471" spans="1:14" x14ac:dyDescent="0.3">
      <c r="A471" s="5" t="s">
        <v>1084</v>
      </c>
      <c r="B471" s="1" t="s">
        <v>155</v>
      </c>
      <c r="C471" s="1" t="s">
        <v>16</v>
      </c>
      <c r="D471" s="1">
        <v>50</v>
      </c>
      <c r="E471" s="1" t="s">
        <v>47</v>
      </c>
      <c r="F471" s="1" t="s">
        <v>26</v>
      </c>
      <c r="G471" s="1" t="s">
        <v>1085</v>
      </c>
      <c r="H471" s="1">
        <v>1</v>
      </c>
      <c r="I471" s="1">
        <v>83940</v>
      </c>
      <c r="J471" s="1">
        <v>5876</v>
      </c>
      <c r="K471" s="1">
        <v>85</v>
      </c>
      <c r="L471" s="1" t="s">
        <v>34</v>
      </c>
      <c r="M471" s="1" t="s">
        <v>21</v>
      </c>
      <c r="N471" s="6" t="s">
        <v>28</v>
      </c>
    </row>
    <row r="472" spans="1:14" x14ac:dyDescent="0.3">
      <c r="A472" s="5" t="s">
        <v>1086</v>
      </c>
      <c r="B472" s="1" t="s">
        <v>198</v>
      </c>
      <c r="C472" s="1" t="s">
        <v>31</v>
      </c>
      <c r="D472" s="1">
        <v>25</v>
      </c>
      <c r="E472" s="1" t="s">
        <v>32</v>
      </c>
      <c r="F472" s="1" t="s">
        <v>75</v>
      </c>
      <c r="G472" s="1" t="s">
        <v>355</v>
      </c>
      <c r="H472" s="1">
        <v>4</v>
      </c>
      <c r="I472" s="1">
        <v>51984</v>
      </c>
      <c r="J472" s="1">
        <v>7798</v>
      </c>
      <c r="K472" s="1">
        <v>81</v>
      </c>
      <c r="L472" s="1" t="s">
        <v>20</v>
      </c>
      <c r="M472" s="1" t="s">
        <v>21</v>
      </c>
      <c r="N472" s="6" t="s">
        <v>50</v>
      </c>
    </row>
    <row r="473" spans="1:14" x14ac:dyDescent="0.3">
      <c r="A473" s="5" t="s">
        <v>1087</v>
      </c>
      <c r="B473" s="1" t="s">
        <v>692</v>
      </c>
      <c r="C473" s="1" t="s">
        <v>31</v>
      </c>
      <c r="D473" s="1">
        <v>24</v>
      </c>
      <c r="E473" s="1" t="s">
        <v>47</v>
      </c>
      <c r="F473" s="1" t="s">
        <v>75</v>
      </c>
      <c r="G473" s="1" t="s">
        <v>1088</v>
      </c>
      <c r="H473" s="1">
        <v>11</v>
      </c>
      <c r="I473" s="1">
        <v>31540</v>
      </c>
      <c r="J473" s="1">
        <v>1577</v>
      </c>
      <c r="K473" s="1">
        <v>95</v>
      </c>
      <c r="L473" s="1" t="s">
        <v>69</v>
      </c>
      <c r="M473" s="1" t="s">
        <v>21</v>
      </c>
      <c r="N473" s="6" t="s">
        <v>28</v>
      </c>
    </row>
    <row r="474" spans="1:14" x14ac:dyDescent="0.3">
      <c r="A474" s="5" t="s">
        <v>1089</v>
      </c>
      <c r="B474" s="1" t="s">
        <v>203</v>
      </c>
      <c r="C474" s="1" t="s">
        <v>31</v>
      </c>
      <c r="D474" s="1">
        <v>38</v>
      </c>
      <c r="E474" s="1" t="s">
        <v>17</v>
      </c>
      <c r="F474" s="1" t="s">
        <v>18</v>
      </c>
      <c r="G474" s="1" t="s">
        <v>1090</v>
      </c>
      <c r="H474" s="1">
        <v>0</v>
      </c>
      <c r="I474" s="1">
        <v>92871</v>
      </c>
      <c r="J474" s="1">
        <v>11145</v>
      </c>
      <c r="K474" s="1">
        <v>85</v>
      </c>
      <c r="L474" s="1" t="s">
        <v>20</v>
      </c>
      <c r="M474" s="1" t="s">
        <v>21</v>
      </c>
      <c r="N474" s="6" t="s">
        <v>44</v>
      </c>
    </row>
    <row r="475" spans="1:14" x14ac:dyDescent="0.3">
      <c r="A475" s="5" t="s">
        <v>1091</v>
      </c>
      <c r="B475" s="1" t="s">
        <v>145</v>
      </c>
      <c r="C475" s="1" t="s">
        <v>16</v>
      </c>
      <c r="D475" s="1">
        <v>47</v>
      </c>
      <c r="E475" s="1" t="s">
        <v>38</v>
      </c>
      <c r="F475" s="1" t="s">
        <v>48</v>
      </c>
      <c r="G475" s="1" t="s">
        <v>905</v>
      </c>
      <c r="H475" s="1">
        <v>8</v>
      </c>
      <c r="I475" s="1">
        <v>27221</v>
      </c>
      <c r="J475" s="1">
        <v>3811</v>
      </c>
      <c r="K475" s="1">
        <v>93</v>
      </c>
      <c r="L475" s="1" t="s">
        <v>40</v>
      </c>
      <c r="M475" s="1" t="s">
        <v>21</v>
      </c>
      <c r="N475" s="6" t="s">
        <v>22</v>
      </c>
    </row>
    <row r="476" spans="1:14" x14ac:dyDescent="0.3">
      <c r="A476" s="5" t="s">
        <v>1092</v>
      </c>
      <c r="B476" s="1" t="s">
        <v>841</v>
      </c>
      <c r="C476" s="1" t="s">
        <v>16</v>
      </c>
      <c r="D476" s="1">
        <v>22</v>
      </c>
      <c r="E476" s="1" t="s">
        <v>25</v>
      </c>
      <c r="F476" s="1" t="s">
        <v>60</v>
      </c>
      <c r="G476" s="1" t="s">
        <v>1093</v>
      </c>
      <c r="H476" s="1">
        <v>6</v>
      </c>
      <c r="I476" s="1">
        <v>109247</v>
      </c>
      <c r="J476" s="1">
        <v>21849</v>
      </c>
      <c r="K476" s="1">
        <v>89</v>
      </c>
      <c r="L476" s="1" t="s">
        <v>34</v>
      </c>
      <c r="M476" s="1" t="s">
        <v>21</v>
      </c>
      <c r="N476" s="6" t="s">
        <v>35</v>
      </c>
    </row>
    <row r="477" spans="1:14" x14ac:dyDescent="0.3">
      <c r="A477" s="5" t="s">
        <v>1094</v>
      </c>
      <c r="B477" s="1" t="s">
        <v>148</v>
      </c>
      <c r="C477" s="1" t="s">
        <v>31</v>
      </c>
      <c r="D477" s="1">
        <v>30</v>
      </c>
      <c r="E477" s="1" t="s">
        <v>38</v>
      </c>
      <c r="F477" s="1" t="s">
        <v>75</v>
      </c>
      <c r="G477" s="1" t="s">
        <v>1095</v>
      </c>
      <c r="H477" s="1">
        <v>10</v>
      </c>
      <c r="I477" s="1">
        <v>67698</v>
      </c>
      <c r="J477" s="1">
        <v>3385</v>
      </c>
      <c r="K477" s="1">
        <v>98</v>
      </c>
      <c r="L477" s="1" t="s">
        <v>34</v>
      </c>
      <c r="M477" s="1" t="s">
        <v>21</v>
      </c>
      <c r="N477" s="6" t="s">
        <v>50</v>
      </c>
    </row>
    <row r="478" spans="1:14" x14ac:dyDescent="0.3">
      <c r="A478" s="5" t="s">
        <v>1096</v>
      </c>
      <c r="B478" s="1" t="s">
        <v>817</v>
      </c>
      <c r="C478" s="1" t="s">
        <v>16</v>
      </c>
      <c r="D478" s="1">
        <v>42</v>
      </c>
      <c r="E478" s="1" t="s">
        <v>32</v>
      </c>
      <c r="F478" s="1" t="s">
        <v>26</v>
      </c>
      <c r="G478" s="1" t="s">
        <v>818</v>
      </c>
      <c r="H478" s="1">
        <v>1</v>
      </c>
      <c r="I478" s="1">
        <v>84177</v>
      </c>
      <c r="J478" s="1">
        <v>9259</v>
      </c>
      <c r="K478" s="1">
        <v>91</v>
      </c>
      <c r="L478" s="1" t="s">
        <v>69</v>
      </c>
      <c r="M478" s="1" t="s">
        <v>21</v>
      </c>
      <c r="N478" s="6" t="s">
        <v>28</v>
      </c>
    </row>
    <row r="479" spans="1:14" x14ac:dyDescent="0.3">
      <c r="A479" s="5" t="s">
        <v>1097</v>
      </c>
      <c r="B479" s="1" t="s">
        <v>791</v>
      </c>
      <c r="C479" s="1" t="s">
        <v>31</v>
      </c>
      <c r="D479" s="1">
        <v>42</v>
      </c>
      <c r="E479" s="1" t="s">
        <v>17</v>
      </c>
      <c r="F479" s="1" t="s">
        <v>18</v>
      </c>
      <c r="G479" s="1" t="s">
        <v>1098</v>
      </c>
      <c r="H479" s="1">
        <v>8</v>
      </c>
      <c r="I479" s="1">
        <v>33387</v>
      </c>
      <c r="J479" s="1">
        <v>2671</v>
      </c>
      <c r="K479" s="1">
        <v>81</v>
      </c>
      <c r="L479" s="1" t="s">
        <v>40</v>
      </c>
      <c r="M479" s="1" t="s">
        <v>21</v>
      </c>
      <c r="N479" s="6" t="s">
        <v>44</v>
      </c>
    </row>
    <row r="480" spans="1:14" x14ac:dyDescent="0.3">
      <c r="A480" s="5" t="s">
        <v>1099</v>
      </c>
      <c r="B480" s="1" t="s">
        <v>458</v>
      </c>
      <c r="C480" s="1" t="s">
        <v>16</v>
      </c>
      <c r="D480" s="1">
        <v>25</v>
      </c>
      <c r="E480" s="1" t="s">
        <v>25</v>
      </c>
      <c r="F480" s="1" t="s">
        <v>75</v>
      </c>
      <c r="G480" s="1" t="s">
        <v>1100</v>
      </c>
      <c r="H480" s="1">
        <v>7</v>
      </c>
      <c r="I480" s="1">
        <v>95484</v>
      </c>
      <c r="J480" s="1">
        <v>15277</v>
      </c>
      <c r="K480" s="1">
        <v>97</v>
      </c>
      <c r="L480" s="1" t="s">
        <v>40</v>
      </c>
      <c r="M480" s="1" t="s">
        <v>21</v>
      </c>
      <c r="N480" s="6" t="s">
        <v>28</v>
      </c>
    </row>
    <row r="481" spans="1:14" x14ac:dyDescent="0.3">
      <c r="A481" s="5" t="s">
        <v>1101</v>
      </c>
      <c r="B481" s="1" t="s">
        <v>327</v>
      </c>
      <c r="C481" s="1" t="s">
        <v>31</v>
      </c>
      <c r="D481" s="1">
        <v>35</v>
      </c>
      <c r="E481" s="1" t="s">
        <v>59</v>
      </c>
      <c r="F481" s="1" t="s">
        <v>18</v>
      </c>
      <c r="G481" s="1" t="s">
        <v>1102</v>
      </c>
      <c r="H481" s="1">
        <v>14</v>
      </c>
      <c r="I481" s="1">
        <v>26004</v>
      </c>
      <c r="J481" s="1">
        <v>2080</v>
      </c>
      <c r="K481" s="1">
        <v>89</v>
      </c>
      <c r="L481" s="1" t="s">
        <v>40</v>
      </c>
      <c r="M481" s="1" t="s">
        <v>21</v>
      </c>
      <c r="N481" s="6" t="s">
        <v>28</v>
      </c>
    </row>
    <row r="482" spans="1:14" x14ac:dyDescent="0.3">
      <c r="A482" s="5" t="s">
        <v>1103</v>
      </c>
      <c r="B482" s="1" t="s">
        <v>910</v>
      </c>
      <c r="C482" s="1" t="s">
        <v>31</v>
      </c>
      <c r="D482" s="1">
        <v>29</v>
      </c>
      <c r="E482" s="1" t="s">
        <v>59</v>
      </c>
      <c r="F482" s="1" t="s">
        <v>67</v>
      </c>
      <c r="G482" s="1" t="s">
        <v>336</v>
      </c>
      <c r="H482" s="1">
        <v>10</v>
      </c>
      <c r="I482" s="1">
        <v>75450</v>
      </c>
      <c r="J482" s="1">
        <v>8300</v>
      </c>
      <c r="K482" s="1">
        <v>77</v>
      </c>
      <c r="L482" s="1" t="s">
        <v>34</v>
      </c>
      <c r="M482" s="1" t="s">
        <v>21</v>
      </c>
      <c r="N482" s="6" t="s">
        <v>35</v>
      </c>
    </row>
    <row r="483" spans="1:14" x14ac:dyDescent="0.3">
      <c r="A483" s="5" t="s">
        <v>1104</v>
      </c>
      <c r="B483" s="1" t="s">
        <v>91</v>
      </c>
      <c r="C483" s="1" t="s">
        <v>31</v>
      </c>
      <c r="D483" s="1">
        <v>39</v>
      </c>
      <c r="E483" s="1" t="s">
        <v>32</v>
      </c>
      <c r="F483" s="1" t="s">
        <v>26</v>
      </c>
      <c r="G483" s="1" t="s">
        <v>1105</v>
      </c>
      <c r="H483" s="1">
        <v>14</v>
      </c>
      <c r="I483" s="1">
        <v>27601</v>
      </c>
      <c r="J483" s="1">
        <v>5244</v>
      </c>
      <c r="K483" s="1">
        <v>76</v>
      </c>
      <c r="L483" s="1" t="s">
        <v>20</v>
      </c>
      <c r="M483" s="1" t="s">
        <v>21</v>
      </c>
      <c r="N483" s="6" t="s">
        <v>50</v>
      </c>
    </row>
    <row r="484" spans="1:14" x14ac:dyDescent="0.3">
      <c r="A484" s="5" t="s">
        <v>1106</v>
      </c>
      <c r="B484" s="1" t="s">
        <v>565</v>
      </c>
      <c r="C484" s="1" t="s">
        <v>31</v>
      </c>
      <c r="D484" s="1">
        <v>49</v>
      </c>
      <c r="E484" s="1" t="s">
        <v>59</v>
      </c>
      <c r="F484" s="1" t="s">
        <v>18</v>
      </c>
      <c r="G484" s="1" t="s">
        <v>1107</v>
      </c>
      <c r="H484" s="1">
        <v>4</v>
      </c>
      <c r="I484" s="1">
        <v>58516</v>
      </c>
      <c r="J484" s="1">
        <v>3511</v>
      </c>
      <c r="K484" s="1">
        <v>79</v>
      </c>
      <c r="L484" s="1" t="s">
        <v>20</v>
      </c>
      <c r="M484" s="1" t="s">
        <v>21</v>
      </c>
      <c r="N484" s="6" t="s">
        <v>35</v>
      </c>
    </row>
    <row r="485" spans="1:14" x14ac:dyDescent="0.3">
      <c r="A485" s="5" t="s">
        <v>1108</v>
      </c>
      <c r="B485" s="1" t="s">
        <v>173</v>
      </c>
      <c r="C485" s="1" t="s">
        <v>31</v>
      </c>
      <c r="D485" s="1">
        <v>31</v>
      </c>
      <c r="E485" s="1" t="s">
        <v>25</v>
      </c>
      <c r="F485" s="1" t="s">
        <v>26</v>
      </c>
      <c r="G485" s="1" t="s">
        <v>1109</v>
      </c>
      <c r="H485" s="1">
        <v>2</v>
      </c>
      <c r="I485" s="1">
        <v>81054</v>
      </c>
      <c r="J485" s="1">
        <v>4053</v>
      </c>
      <c r="K485" s="1">
        <v>96</v>
      </c>
      <c r="L485" s="1" t="s">
        <v>34</v>
      </c>
      <c r="M485" s="1" t="s">
        <v>21</v>
      </c>
      <c r="N485" s="6" t="s">
        <v>44</v>
      </c>
    </row>
    <row r="486" spans="1:14" x14ac:dyDescent="0.3">
      <c r="A486" s="5" t="s">
        <v>1110</v>
      </c>
      <c r="B486" s="1" t="s">
        <v>106</v>
      </c>
      <c r="C486" s="1" t="s">
        <v>16</v>
      </c>
      <c r="D486" s="1">
        <v>47</v>
      </c>
      <c r="E486" s="1" t="s">
        <v>38</v>
      </c>
      <c r="F486" s="1" t="s">
        <v>48</v>
      </c>
      <c r="G486" s="1" t="s">
        <v>122</v>
      </c>
      <c r="H486" s="1">
        <v>12</v>
      </c>
      <c r="I486" s="1">
        <v>73955</v>
      </c>
      <c r="J486" s="1">
        <v>9614</v>
      </c>
      <c r="K486" s="1">
        <v>99</v>
      </c>
      <c r="L486" s="1" t="s">
        <v>20</v>
      </c>
      <c r="M486" s="1" t="s">
        <v>117</v>
      </c>
      <c r="N486" s="6" t="s">
        <v>44</v>
      </c>
    </row>
    <row r="487" spans="1:14" x14ac:dyDescent="0.3">
      <c r="A487" s="5" t="s">
        <v>1111</v>
      </c>
      <c r="B487" s="1" t="s">
        <v>494</v>
      </c>
      <c r="C487" s="1" t="s">
        <v>31</v>
      </c>
      <c r="D487" s="1">
        <v>34</v>
      </c>
      <c r="E487" s="1" t="s">
        <v>47</v>
      </c>
      <c r="F487" s="1" t="s">
        <v>67</v>
      </c>
      <c r="G487" s="1" t="s">
        <v>1112</v>
      </c>
      <c r="H487" s="1">
        <v>5</v>
      </c>
      <c r="I487" s="1">
        <v>33935</v>
      </c>
      <c r="J487" s="1">
        <v>4412</v>
      </c>
      <c r="K487" s="1">
        <v>82</v>
      </c>
      <c r="L487" s="1" t="s">
        <v>20</v>
      </c>
      <c r="M487" s="1" t="s">
        <v>21</v>
      </c>
      <c r="N487" s="6" t="s">
        <v>50</v>
      </c>
    </row>
    <row r="488" spans="1:14" x14ac:dyDescent="0.3">
      <c r="A488" s="5" t="s">
        <v>1113</v>
      </c>
      <c r="B488" s="1" t="s">
        <v>198</v>
      </c>
      <c r="C488" s="1" t="s">
        <v>16</v>
      </c>
      <c r="D488" s="1">
        <v>25</v>
      </c>
      <c r="E488" s="1" t="s">
        <v>59</v>
      </c>
      <c r="F488" s="1" t="s">
        <v>26</v>
      </c>
      <c r="G488" s="1" t="s">
        <v>952</v>
      </c>
      <c r="H488" s="1">
        <v>15</v>
      </c>
      <c r="I488" s="1">
        <v>54342</v>
      </c>
      <c r="J488" s="1">
        <v>3804</v>
      </c>
      <c r="K488" s="1">
        <v>95</v>
      </c>
      <c r="L488" s="1" t="s">
        <v>34</v>
      </c>
      <c r="M488" s="1" t="s">
        <v>21</v>
      </c>
      <c r="N488" s="6" t="s">
        <v>22</v>
      </c>
    </row>
    <row r="489" spans="1:14" x14ac:dyDescent="0.3">
      <c r="A489" s="5" t="s">
        <v>1114</v>
      </c>
      <c r="B489" s="1" t="s">
        <v>221</v>
      </c>
      <c r="C489" s="1" t="s">
        <v>31</v>
      </c>
      <c r="D489" s="1">
        <v>50</v>
      </c>
      <c r="E489" s="1" t="s">
        <v>38</v>
      </c>
      <c r="F489" s="1" t="s">
        <v>85</v>
      </c>
      <c r="G489" s="1" t="s">
        <v>1115</v>
      </c>
      <c r="H489" s="1">
        <v>0</v>
      </c>
      <c r="I489" s="1">
        <v>29978</v>
      </c>
      <c r="J489" s="1">
        <v>4197</v>
      </c>
      <c r="K489" s="1">
        <v>92</v>
      </c>
      <c r="L489" s="1" t="s">
        <v>34</v>
      </c>
      <c r="M489" s="1" t="s">
        <v>21</v>
      </c>
      <c r="N489" s="6" t="s">
        <v>44</v>
      </c>
    </row>
    <row r="490" spans="1:14" x14ac:dyDescent="0.3">
      <c r="A490" s="5" t="s">
        <v>1116</v>
      </c>
      <c r="B490" s="1" t="s">
        <v>668</v>
      </c>
      <c r="C490" s="1" t="s">
        <v>31</v>
      </c>
      <c r="D490" s="1">
        <v>45</v>
      </c>
      <c r="E490" s="1" t="s">
        <v>25</v>
      </c>
      <c r="F490" s="1" t="s">
        <v>75</v>
      </c>
      <c r="G490" s="1" t="s">
        <v>750</v>
      </c>
      <c r="H490" s="1">
        <v>1</v>
      </c>
      <c r="I490" s="1">
        <v>111575</v>
      </c>
      <c r="J490" s="1">
        <v>21199</v>
      </c>
      <c r="K490" s="1">
        <v>83</v>
      </c>
      <c r="L490" s="1" t="s">
        <v>69</v>
      </c>
      <c r="M490" s="1" t="s">
        <v>21</v>
      </c>
      <c r="N490" s="6" t="s">
        <v>35</v>
      </c>
    </row>
    <row r="491" spans="1:14" x14ac:dyDescent="0.3">
      <c r="A491" s="5" t="s">
        <v>1117</v>
      </c>
      <c r="B491" s="1" t="s">
        <v>330</v>
      </c>
      <c r="C491" s="1" t="s">
        <v>31</v>
      </c>
      <c r="D491" s="1">
        <v>42</v>
      </c>
      <c r="E491" s="1" t="s">
        <v>17</v>
      </c>
      <c r="F491" s="1" t="s">
        <v>26</v>
      </c>
      <c r="G491" s="1" t="s">
        <v>1118</v>
      </c>
      <c r="H491" s="1">
        <v>15</v>
      </c>
      <c r="I491" s="1">
        <v>117797</v>
      </c>
      <c r="J491" s="1">
        <v>22381</v>
      </c>
      <c r="K491" s="1">
        <v>91</v>
      </c>
      <c r="L491" s="1" t="s">
        <v>40</v>
      </c>
      <c r="M491" s="1" t="s">
        <v>21</v>
      </c>
      <c r="N491" s="6" t="s">
        <v>22</v>
      </c>
    </row>
    <row r="492" spans="1:14" x14ac:dyDescent="0.3">
      <c r="A492" s="5" t="s">
        <v>1119</v>
      </c>
      <c r="B492" s="1" t="s">
        <v>514</v>
      </c>
      <c r="C492" s="1" t="s">
        <v>31</v>
      </c>
      <c r="D492" s="1">
        <v>39</v>
      </c>
      <c r="E492" s="1" t="s">
        <v>38</v>
      </c>
      <c r="F492" s="1" t="s">
        <v>67</v>
      </c>
      <c r="G492" s="1" t="s">
        <v>1120</v>
      </c>
      <c r="H492" s="1">
        <v>2</v>
      </c>
      <c r="I492" s="1">
        <v>92601</v>
      </c>
      <c r="J492" s="1">
        <v>18520</v>
      </c>
      <c r="K492" s="1">
        <v>84</v>
      </c>
      <c r="L492" s="1" t="s">
        <v>20</v>
      </c>
      <c r="M492" s="1" t="s">
        <v>21</v>
      </c>
      <c r="N492" s="6" t="s">
        <v>35</v>
      </c>
    </row>
    <row r="493" spans="1:14" x14ac:dyDescent="0.3">
      <c r="A493" s="5" t="s">
        <v>1121</v>
      </c>
      <c r="B493" s="1" t="s">
        <v>58</v>
      </c>
      <c r="C493" s="1" t="s">
        <v>16</v>
      </c>
      <c r="D493" s="1">
        <v>32</v>
      </c>
      <c r="E493" s="1" t="s">
        <v>25</v>
      </c>
      <c r="F493" s="1" t="s">
        <v>18</v>
      </c>
      <c r="G493" s="1" t="s">
        <v>1122</v>
      </c>
      <c r="H493" s="1">
        <v>10</v>
      </c>
      <c r="I493" s="1">
        <v>93610</v>
      </c>
      <c r="J493" s="1">
        <v>14978</v>
      </c>
      <c r="K493" s="1">
        <v>98</v>
      </c>
      <c r="L493" s="1" t="s">
        <v>69</v>
      </c>
      <c r="M493" s="1" t="s">
        <v>21</v>
      </c>
      <c r="N493" s="6" t="s">
        <v>22</v>
      </c>
    </row>
    <row r="494" spans="1:14" x14ac:dyDescent="0.3">
      <c r="A494" s="5" t="s">
        <v>1123</v>
      </c>
      <c r="B494" s="1" t="s">
        <v>817</v>
      </c>
      <c r="C494" s="1" t="s">
        <v>31</v>
      </c>
      <c r="D494" s="1">
        <v>47</v>
      </c>
      <c r="E494" s="1" t="s">
        <v>59</v>
      </c>
      <c r="F494" s="1" t="s">
        <v>60</v>
      </c>
      <c r="G494" s="1" t="s">
        <v>1124</v>
      </c>
      <c r="H494" s="1">
        <v>2</v>
      </c>
      <c r="I494" s="1">
        <v>54477</v>
      </c>
      <c r="J494" s="1">
        <v>5992</v>
      </c>
      <c r="K494" s="1">
        <v>83</v>
      </c>
      <c r="L494" s="1" t="s">
        <v>40</v>
      </c>
      <c r="M494" s="1" t="s">
        <v>21</v>
      </c>
      <c r="N494" s="6" t="s">
        <v>50</v>
      </c>
    </row>
    <row r="495" spans="1:14" x14ac:dyDescent="0.3">
      <c r="A495" s="5" t="s">
        <v>1125</v>
      </c>
      <c r="B495" s="1" t="s">
        <v>145</v>
      </c>
      <c r="C495" s="1" t="s">
        <v>16</v>
      </c>
      <c r="D495" s="1">
        <v>44</v>
      </c>
      <c r="E495" s="1" t="s">
        <v>38</v>
      </c>
      <c r="F495" s="1" t="s">
        <v>48</v>
      </c>
      <c r="G495" s="1" t="s">
        <v>1126</v>
      </c>
      <c r="H495" s="1">
        <v>6</v>
      </c>
      <c r="I495" s="1">
        <v>41142</v>
      </c>
      <c r="J495" s="1">
        <v>6994</v>
      </c>
      <c r="K495" s="1">
        <v>80</v>
      </c>
      <c r="L495" s="1" t="s">
        <v>20</v>
      </c>
      <c r="M495" s="1" t="s">
        <v>21</v>
      </c>
      <c r="N495" s="6" t="s">
        <v>44</v>
      </c>
    </row>
    <row r="496" spans="1:14" x14ac:dyDescent="0.3">
      <c r="A496" s="5" t="s">
        <v>1127</v>
      </c>
      <c r="B496" s="1" t="s">
        <v>1004</v>
      </c>
      <c r="C496" s="1" t="s">
        <v>31</v>
      </c>
      <c r="D496" s="1">
        <v>36</v>
      </c>
      <c r="E496" s="1" t="s">
        <v>47</v>
      </c>
      <c r="F496" s="1" t="s">
        <v>67</v>
      </c>
      <c r="G496" s="1" t="s">
        <v>1128</v>
      </c>
      <c r="H496" s="1">
        <v>5</v>
      </c>
      <c r="I496" s="1">
        <v>112526</v>
      </c>
      <c r="J496" s="1">
        <v>18004</v>
      </c>
      <c r="K496" s="1">
        <v>96</v>
      </c>
      <c r="L496" s="1" t="s">
        <v>20</v>
      </c>
      <c r="M496" s="1" t="s">
        <v>117</v>
      </c>
      <c r="N496" s="6" t="s">
        <v>28</v>
      </c>
    </row>
    <row r="497" spans="1:14" x14ac:dyDescent="0.3">
      <c r="A497" s="5" t="s">
        <v>1129</v>
      </c>
      <c r="B497" s="1" t="s">
        <v>458</v>
      </c>
      <c r="C497" s="1" t="s">
        <v>16</v>
      </c>
      <c r="D497" s="1">
        <v>32</v>
      </c>
      <c r="E497" s="1" t="s">
        <v>17</v>
      </c>
      <c r="F497" s="1" t="s">
        <v>60</v>
      </c>
      <c r="G497" s="1" t="s">
        <v>1130</v>
      </c>
      <c r="H497" s="1">
        <v>4</v>
      </c>
      <c r="I497" s="1">
        <v>49807</v>
      </c>
      <c r="J497" s="1">
        <v>4981</v>
      </c>
      <c r="K497" s="1">
        <v>89</v>
      </c>
      <c r="L497" s="1" t="s">
        <v>40</v>
      </c>
      <c r="M497" s="1" t="s">
        <v>21</v>
      </c>
      <c r="N497" s="6" t="s">
        <v>22</v>
      </c>
    </row>
    <row r="498" spans="1:14" x14ac:dyDescent="0.3">
      <c r="A498" s="5" t="s">
        <v>1131</v>
      </c>
      <c r="B498" s="1" t="s">
        <v>433</v>
      </c>
      <c r="C498" s="1" t="s">
        <v>31</v>
      </c>
      <c r="D498" s="1">
        <v>32</v>
      </c>
      <c r="E498" s="1" t="s">
        <v>17</v>
      </c>
      <c r="F498" s="1" t="s">
        <v>75</v>
      </c>
      <c r="G498" s="1" t="s">
        <v>1132</v>
      </c>
      <c r="H498" s="1">
        <v>13</v>
      </c>
      <c r="I498" s="1">
        <v>80137</v>
      </c>
      <c r="J498" s="1">
        <v>9616</v>
      </c>
      <c r="K498" s="1">
        <v>100</v>
      </c>
      <c r="L498" s="1" t="s">
        <v>34</v>
      </c>
      <c r="M498" s="1" t="s">
        <v>21</v>
      </c>
      <c r="N498" s="6" t="s">
        <v>28</v>
      </c>
    </row>
    <row r="499" spans="1:14" x14ac:dyDescent="0.3">
      <c r="A499" s="5" t="s">
        <v>1133</v>
      </c>
      <c r="B499" s="1" t="s">
        <v>392</v>
      </c>
      <c r="C499" s="1" t="s">
        <v>31</v>
      </c>
      <c r="D499" s="1">
        <v>35</v>
      </c>
      <c r="E499" s="1" t="s">
        <v>38</v>
      </c>
      <c r="F499" s="1" t="s">
        <v>26</v>
      </c>
      <c r="G499" s="1" t="s">
        <v>1134</v>
      </c>
      <c r="H499" s="1">
        <v>5</v>
      </c>
      <c r="I499" s="1">
        <v>115479</v>
      </c>
      <c r="J499" s="1">
        <v>13857</v>
      </c>
      <c r="K499" s="1">
        <v>96</v>
      </c>
      <c r="L499" s="1" t="s">
        <v>20</v>
      </c>
      <c r="M499" s="1" t="s">
        <v>117</v>
      </c>
      <c r="N499" s="6" t="s">
        <v>35</v>
      </c>
    </row>
    <row r="500" spans="1:14" x14ac:dyDescent="0.3">
      <c r="A500" s="5" t="s">
        <v>1135</v>
      </c>
      <c r="B500" s="1" t="s">
        <v>106</v>
      </c>
      <c r="C500" s="1" t="s">
        <v>16</v>
      </c>
      <c r="D500" s="1">
        <v>44</v>
      </c>
      <c r="E500" s="1" t="s">
        <v>47</v>
      </c>
      <c r="F500" s="1" t="s">
        <v>75</v>
      </c>
      <c r="G500" s="1" t="s">
        <v>1136</v>
      </c>
      <c r="H500" s="1">
        <v>12</v>
      </c>
      <c r="I500" s="1">
        <v>90884</v>
      </c>
      <c r="J500" s="1">
        <v>16359</v>
      </c>
      <c r="K500" s="1">
        <v>85</v>
      </c>
      <c r="L500" s="1" t="s">
        <v>34</v>
      </c>
      <c r="M500" s="1" t="s">
        <v>21</v>
      </c>
      <c r="N500" s="6" t="s">
        <v>22</v>
      </c>
    </row>
    <row r="501" spans="1:14" x14ac:dyDescent="0.3">
      <c r="A501" s="10" t="s">
        <v>1137</v>
      </c>
      <c r="B501" s="4" t="s">
        <v>237</v>
      </c>
      <c r="C501" s="4" t="s">
        <v>31</v>
      </c>
      <c r="D501" s="4">
        <v>35</v>
      </c>
      <c r="E501" s="4" t="s">
        <v>32</v>
      </c>
      <c r="F501" s="4" t="s">
        <v>48</v>
      </c>
      <c r="G501" s="4" t="s">
        <v>1138</v>
      </c>
      <c r="H501" s="4">
        <v>3</v>
      </c>
      <c r="I501" s="4">
        <v>48820</v>
      </c>
      <c r="J501" s="4">
        <v>3906</v>
      </c>
      <c r="K501" s="4">
        <v>96</v>
      </c>
      <c r="L501" s="4" t="s">
        <v>20</v>
      </c>
      <c r="M501" s="4" t="s">
        <v>21</v>
      </c>
      <c r="N501" s="11" t="s">
        <v>50</v>
      </c>
    </row>
  </sheetData>
  <phoneticPr fontId="1" type="noConversion"/>
  <dataValidations count="5">
    <dataValidation type="list" allowBlank="1" showInputMessage="1" showErrorMessage="1" sqref="C2:C501" xr:uid="{F3924C14-377C-4C4D-BC7B-328584097973}">
      <formula1>$C$2:$C$501</formula1>
    </dataValidation>
    <dataValidation type="list" allowBlank="1" showInputMessage="1" showErrorMessage="1" sqref="E2:E501" xr:uid="{D7BEF950-D1AF-4073-B0F3-4FBCDAE813C2}">
      <formula1>$E$2:$E$501</formula1>
    </dataValidation>
    <dataValidation type="list" allowBlank="1" showInputMessage="1" showErrorMessage="1" sqref="F2:F501" xr:uid="{C0B066D3-D957-4AD7-B249-95219BAEF2CD}">
      <formula1>$F$2:$F$501</formula1>
    </dataValidation>
    <dataValidation type="list" allowBlank="1" showInputMessage="1" showErrorMessage="1" sqref="L2:L501" xr:uid="{508D5AE2-EAB3-4240-82B3-B0BBDCD45839}">
      <formula1>$L$2:$L$501</formula1>
    </dataValidation>
    <dataValidation type="list" allowBlank="1" showInputMessage="1" showErrorMessage="1" sqref="M2:M501" xr:uid="{43DE8BFA-D116-4EB5-BADA-5AB5C4ADFCB3}">
      <formula1>$M$2:$M$501</formula1>
    </dataValidation>
  </dataValidations>
  <pageMargins left="0.75" right="0.75" top="1" bottom="1" header="0.5" footer="0.5"/>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
  <sheetViews>
    <sheetView workbookViewId="0">
      <selection activeCell="C2" sqref="C2"/>
    </sheetView>
  </sheetViews>
  <sheetFormatPr defaultRowHeight="14.4" x14ac:dyDescent="0.3"/>
  <sheetData>
    <row r="1" spans="1:4" x14ac:dyDescent="0.3">
      <c r="A1" t="s">
        <v>1139</v>
      </c>
      <c r="B1" t="s">
        <v>1140</v>
      </c>
      <c r="C1" t="s">
        <v>1141</v>
      </c>
      <c r="D1" t="s">
        <v>1142</v>
      </c>
    </row>
    <row r="2" spans="1:4" x14ac:dyDescent="0.3">
      <c r="A2" t="s">
        <v>25</v>
      </c>
      <c r="B2" t="s">
        <v>60</v>
      </c>
      <c r="C2" t="s">
        <v>20</v>
      </c>
      <c r="D2" t="s">
        <v>28</v>
      </c>
    </row>
    <row r="3" spans="1:4" x14ac:dyDescent="0.3">
      <c r="A3" t="s">
        <v>59</v>
      </c>
      <c r="B3" t="s">
        <v>75</v>
      </c>
      <c r="C3" t="s">
        <v>34</v>
      </c>
      <c r="D3" t="s">
        <v>50</v>
      </c>
    </row>
    <row r="4" spans="1:4" x14ac:dyDescent="0.3">
      <c r="A4" t="s">
        <v>17</v>
      </c>
      <c r="B4" t="s">
        <v>48</v>
      </c>
      <c r="C4" t="s">
        <v>40</v>
      </c>
      <c r="D4" t="s">
        <v>35</v>
      </c>
    </row>
    <row r="5" spans="1:4" x14ac:dyDescent="0.3">
      <c r="A5" t="s">
        <v>47</v>
      </c>
      <c r="B5" t="s">
        <v>67</v>
      </c>
      <c r="C5" t="s">
        <v>69</v>
      </c>
      <c r="D5" t="s">
        <v>44</v>
      </c>
    </row>
    <row r="6" spans="1:4" x14ac:dyDescent="0.3">
      <c r="A6" t="s">
        <v>32</v>
      </c>
      <c r="B6" t="s">
        <v>85</v>
      </c>
      <c r="D6" t="s">
        <v>22</v>
      </c>
    </row>
    <row r="7" spans="1:4" x14ac:dyDescent="0.3">
      <c r="A7" t="s">
        <v>38</v>
      </c>
      <c r="B7" t="s">
        <v>18</v>
      </c>
    </row>
    <row r="8" spans="1:4" x14ac:dyDescent="0.3">
      <c r="B8"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K29"/>
  <sheetViews>
    <sheetView topLeftCell="A14" workbookViewId="0">
      <selection activeCell="Z18" sqref="Z18"/>
    </sheetView>
  </sheetViews>
  <sheetFormatPr defaultRowHeight="14.4" x14ac:dyDescent="0.3"/>
  <cols>
    <col min="1" max="1" width="12.5546875" bestFit="1" customWidth="1"/>
    <col min="2" max="2" width="20.109375" bestFit="1" customWidth="1"/>
    <col min="4" max="4" width="12.5546875" bestFit="1" customWidth="1"/>
    <col min="5" max="5" width="23.44140625" bestFit="1" customWidth="1"/>
    <col min="6" max="7" width="12.5546875" bestFit="1" customWidth="1"/>
    <col min="8" max="8" width="20.109375" bestFit="1" customWidth="1"/>
    <col min="10" max="10" width="12.5546875" bestFit="1" customWidth="1"/>
    <col min="11" max="11" width="20.109375" bestFit="1" customWidth="1"/>
  </cols>
  <sheetData>
    <row r="2" spans="1:11" x14ac:dyDescent="0.3">
      <c r="A2" s="12" t="s">
        <v>1144</v>
      </c>
      <c r="B2" s="1" t="s">
        <v>1146</v>
      </c>
      <c r="D2" s="12" t="s">
        <v>1144</v>
      </c>
      <c r="E2" s="1" t="s">
        <v>1147</v>
      </c>
      <c r="G2" s="12" t="s">
        <v>1144</v>
      </c>
      <c r="H2" s="1" t="s">
        <v>1148</v>
      </c>
      <c r="J2" s="12" t="s">
        <v>1144</v>
      </c>
      <c r="K2" s="1" t="s">
        <v>1148</v>
      </c>
    </row>
    <row r="3" spans="1:11" x14ac:dyDescent="0.3">
      <c r="A3" s="13" t="s">
        <v>17</v>
      </c>
      <c r="B3" s="1">
        <v>6143054</v>
      </c>
      <c r="D3" s="13" t="s">
        <v>17</v>
      </c>
      <c r="E3" s="1">
        <v>83</v>
      </c>
      <c r="G3" s="13" t="s">
        <v>16</v>
      </c>
      <c r="H3" s="1">
        <v>239</v>
      </c>
      <c r="J3" s="13" t="s">
        <v>40</v>
      </c>
      <c r="K3" s="1">
        <v>122</v>
      </c>
    </row>
    <row r="4" spans="1:11" x14ac:dyDescent="0.3">
      <c r="A4" s="13" t="s">
        <v>59</v>
      </c>
      <c r="B4" s="1">
        <v>5771311</v>
      </c>
      <c r="D4" s="13" t="s">
        <v>59</v>
      </c>
      <c r="E4" s="1">
        <v>81</v>
      </c>
      <c r="G4" s="13" t="s">
        <v>31</v>
      </c>
      <c r="H4" s="1">
        <v>261</v>
      </c>
      <c r="J4" s="13" t="s">
        <v>20</v>
      </c>
      <c r="K4" s="1">
        <v>128</v>
      </c>
    </row>
    <row r="5" spans="1:11" x14ac:dyDescent="0.3">
      <c r="A5" s="13" t="s">
        <v>25</v>
      </c>
      <c r="B5" s="1">
        <v>5766602</v>
      </c>
      <c r="D5" s="13" t="s">
        <v>25</v>
      </c>
      <c r="E5" s="1">
        <v>73</v>
      </c>
      <c r="G5" s="13" t="s">
        <v>1145</v>
      </c>
      <c r="H5" s="1">
        <v>500</v>
      </c>
      <c r="J5" s="13" t="s">
        <v>34</v>
      </c>
      <c r="K5" s="1">
        <v>139</v>
      </c>
    </row>
    <row r="6" spans="1:11" x14ac:dyDescent="0.3">
      <c r="A6" s="13" t="s">
        <v>32</v>
      </c>
      <c r="B6" s="1">
        <v>6069913</v>
      </c>
      <c r="D6" s="13" t="s">
        <v>32</v>
      </c>
      <c r="E6" s="1">
        <v>88</v>
      </c>
      <c r="J6" s="13" t="s">
        <v>69</v>
      </c>
      <c r="K6" s="1">
        <v>111</v>
      </c>
    </row>
    <row r="7" spans="1:11" x14ac:dyDescent="0.3">
      <c r="A7" s="13" t="s">
        <v>38</v>
      </c>
      <c r="B7" s="1">
        <v>6752911</v>
      </c>
      <c r="D7" s="13" t="s">
        <v>38</v>
      </c>
      <c r="E7" s="1">
        <v>92</v>
      </c>
      <c r="J7" s="13" t="s">
        <v>1145</v>
      </c>
      <c r="K7" s="1">
        <v>500</v>
      </c>
    </row>
    <row r="8" spans="1:11" x14ac:dyDescent="0.3">
      <c r="A8" s="13" t="s">
        <v>47</v>
      </c>
      <c r="B8" s="1">
        <v>5818137</v>
      </c>
      <c r="D8" s="13" t="s">
        <v>47</v>
      </c>
      <c r="E8" s="1">
        <v>83</v>
      </c>
    </row>
    <row r="9" spans="1:11" x14ac:dyDescent="0.3">
      <c r="A9" s="13" t="s">
        <v>1145</v>
      </c>
      <c r="B9" s="1">
        <v>36321928</v>
      </c>
      <c r="D9" s="13" t="s">
        <v>1145</v>
      </c>
      <c r="E9" s="1">
        <v>500</v>
      </c>
    </row>
    <row r="12" spans="1:11" x14ac:dyDescent="0.3">
      <c r="A12" s="12" t="s">
        <v>1144</v>
      </c>
      <c r="B12" s="1" t="s">
        <v>1148</v>
      </c>
      <c r="D12" s="12" t="s">
        <v>1144</v>
      </c>
      <c r="E12" s="1" t="s">
        <v>1148</v>
      </c>
      <c r="G12" s="12" t="s">
        <v>1144</v>
      </c>
      <c r="H12" s="1" t="s">
        <v>1148</v>
      </c>
      <c r="J12" s="12" t="s">
        <v>1144</v>
      </c>
      <c r="K12" s="1" t="s">
        <v>1148</v>
      </c>
    </row>
    <row r="13" spans="1:11" x14ac:dyDescent="0.3">
      <c r="A13" s="13" t="s">
        <v>85</v>
      </c>
      <c r="B13" s="1">
        <v>70</v>
      </c>
      <c r="D13" s="13" t="s">
        <v>35</v>
      </c>
      <c r="E13" s="1">
        <v>95</v>
      </c>
      <c r="G13" s="13" t="s">
        <v>21</v>
      </c>
      <c r="H13" s="1">
        <v>463</v>
      </c>
      <c r="J13" s="13" t="s">
        <v>85</v>
      </c>
      <c r="K13" s="1">
        <v>70</v>
      </c>
    </row>
    <row r="14" spans="1:11" x14ac:dyDescent="0.3">
      <c r="A14" s="13" t="s">
        <v>26</v>
      </c>
      <c r="B14" s="1">
        <v>66</v>
      </c>
      <c r="D14" s="13" t="s">
        <v>22</v>
      </c>
      <c r="E14" s="1">
        <v>103</v>
      </c>
      <c r="G14" s="13" t="s">
        <v>117</v>
      </c>
      <c r="H14" s="1">
        <v>37</v>
      </c>
      <c r="J14" s="13" t="s">
        <v>26</v>
      </c>
      <c r="K14" s="1">
        <v>66</v>
      </c>
    </row>
    <row r="15" spans="1:11" x14ac:dyDescent="0.3">
      <c r="A15" s="13" t="s">
        <v>18</v>
      </c>
      <c r="B15" s="1">
        <v>69</v>
      </c>
      <c r="D15" s="13" t="s">
        <v>50</v>
      </c>
      <c r="E15" s="1">
        <v>93</v>
      </c>
      <c r="G15" s="13" t="s">
        <v>1145</v>
      </c>
      <c r="H15" s="1">
        <v>500</v>
      </c>
      <c r="J15" s="13" t="s">
        <v>18</v>
      </c>
      <c r="K15" s="1">
        <v>69</v>
      </c>
    </row>
    <row r="16" spans="1:11" x14ac:dyDescent="0.3">
      <c r="A16" s="13" t="s">
        <v>75</v>
      </c>
      <c r="B16" s="1">
        <v>75</v>
      </c>
      <c r="D16" s="13" t="s">
        <v>28</v>
      </c>
      <c r="E16" s="1">
        <v>101</v>
      </c>
      <c r="J16" s="13" t="s">
        <v>75</v>
      </c>
      <c r="K16" s="1">
        <v>75</v>
      </c>
    </row>
    <row r="17" spans="1:11" x14ac:dyDescent="0.3">
      <c r="A17" s="13" t="s">
        <v>67</v>
      </c>
      <c r="B17" s="1">
        <v>76</v>
      </c>
      <c r="D17" s="13" t="s">
        <v>44</v>
      </c>
      <c r="E17" s="1">
        <v>108</v>
      </c>
      <c r="J17" s="13" t="s">
        <v>67</v>
      </c>
      <c r="K17" s="1">
        <v>76</v>
      </c>
    </row>
    <row r="18" spans="1:11" x14ac:dyDescent="0.3">
      <c r="A18" s="13" t="s">
        <v>48</v>
      </c>
      <c r="B18" s="1">
        <v>69</v>
      </c>
      <c r="D18" s="13" t="s">
        <v>1145</v>
      </c>
      <c r="E18" s="1">
        <v>500</v>
      </c>
      <c r="J18" s="13" t="s">
        <v>48</v>
      </c>
      <c r="K18" s="1">
        <v>69</v>
      </c>
    </row>
    <row r="19" spans="1:11" x14ac:dyDescent="0.3">
      <c r="A19" s="13" t="s">
        <v>60</v>
      </c>
      <c r="B19" s="1">
        <v>75</v>
      </c>
      <c r="J19" s="13" t="s">
        <v>60</v>
      </c>
      <c r="K19" s="1">
        <v>75</v>
      </c>
    </row>
    <row r="20" spans="1:11" x14ac:dyDescent="0.3">
      <c r="A20" s="13" t="s">
        <v>1145</v>
      </c>
      <c r="B20" s="1">
        <v>500</v>
      </c>
      <c r="J20" s="13" t="s">
        <v>1145</v>
      </c>
      <c r="K20" s="1">
        <v>500</v>
      </c>
    </row>
    <row r="23" spans="1:11" x14ac:dyDescent="0.3">
      <c r="A23" s="12" t="s">
        <v>1144</v>
      </c>
      <c r="B23" s="1" t="s">
        <v>1148</v>
      </c>
    </row>
    <row r="24" spans="1:11" x14ac:dyDescent="0.3">
      <c r="A24" s="13" t="s">
        <v>1155</v>
      </c>
      <c r="B24" s="1">
        <v>94</v>
      </c>
    </row>
    <row r="25" spans="1:11" x14ac:dyDescent="0.3">
      <c r="A25" s="13" t="s">
        <v>1156</v>
      </c>
      <c r="B25" s="1">
        <v>100</v>
      </c>
    </row>
    <row r="26" spans="1:11" x14ac:dyDescent="0.3">
      <c r="A26" s="13" t="s">
        <v>1157</v>
      </c>
      <c r="B26" s="1">
        <v>81</v>
      </c>
    </row>
    <row r="27" spans="1:11" x14ac:dyDescent="0.3">
      <c r="A27" s="13" t="s">
        <v>1158</v>
      </c>
      <c r="B27" s="1">
        <v>95</v>
      </c>
    </row>
    <row r="28" spans="1:11" x14ac:dyDescent="0.3">
      <c r="A28" s="13" t="s">
        <v>1159</v>
      </c>
      <c r="B28" s="1">
        <v>130</v>
      </c>
    </row>
    <row r="29" spans="1:11" x14ac:dyDescent="0.3">
      <c r="A29" s="13" t="s">
        <v>1145</v>
      </c>
      <c r="B29" s="1">
        <v>500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8CFC0-8ED0-4EF9-AFB8-150BFA5A8B0E}">
  <dimension ref="A1:T13"/>
  <sheetViews>
    <sheetView showGridLines="0" tabSelected="1" zoomScale="75" zoomScaleNormal="75" workbookViewId="0">
      <selection activeCell="W14" sqref="W14"/>
    </sheetView>
  </sheetViews>
  <sheetFormatPr defaultRowHeight="14.4" x14ac:dyDescent="0.3"/>
  <cols>
    <col min="5" max="5" width="4.88671875" customWidth="1"/>
    <col min="10" max="10" width="4.77734375" customWidth="1"/>
    <col min="15" max="15" width="4.88671875" customWidth="1"/>
  </cols>
  <sheetData>
    <row r="1" spans="1:20" ht="14.4" customHeight="1" x14ac:dyDescent="0.3">
      <c r="A1" s="25" t="s">
        <v>1149</v>
      </c>
      <c r="B1" s="25"/>
      <c r="C1" s="25"/>
      <c r="D1" s="25"/>
      <c r="E1" s="25"/>
      <c r="F1" s="25"/>
      <c r="G1" s="25"/>
      <c r="H1" s="25"/>
      <c r="I1" s="25"/>
      <c r="J1" s="25"/>
      <c r="K1" s="25"/>
      <c r="L1" s="25"/>
      <c r="M1" s="25"/>
      <c r="N1" s="25"/>
      <c r="O1" s="25"/>
      <c r="P1" s="25"/>
      <c r="Q1" s="25"/>
      <c r="R1" s="25"/>
      <c r="S1" s="25"/>
      <c r="T1" s="14"/>
    </row>
    <row r="2" spans="1:20" x14ac:dyDescent="0.3">
      <c r="A2" s="25"/>
      <c r="B2" s="25"/>
      <c r="C2" s="25"/>
      <c r="D2" s="25"/>
      <c r="E2" s="25"/>
      <c r="F2" s="25"/>
      <c r="G2" s="25"/>
      <c r="H2" s="25"/>
      <c r="I2" s="25"/>
      <c r="J2" s="25"/>
      <c r="K2" s="25"/>
      <c r="L2" s="25"/>
      <c r="M2" s="25"/>
      <c r="N2" s="25"/>
      <c r="O2" s="25"/>
      <c r="P2" s="25"/>
      <c r="Q2" s="25"/>
      <c r="R2" s="25"/>
      <c r="S2" s="25"/>
      <c r="T2" s="14"/>
    </row>
    <row r="3" spans="1:20" ht="14.4" customHeight="1" x14ac:dyDescent="0.3">
      <c r="A3" s="26" t="s">
        <v>1150</v>
      </c>
      <c r="B3" s="26"/>
      <c r="C3" s="26"/>
      <c r="D3" s="26"/>
      <c r="E3" s="26"/>
      <c r="F3" s="26"/>
      <c r="G3" s="26"/>
      <c r="H3" s="26"/>
      <c r="I3" s="26"/>
      <c r="J3" s="26"/>
      <c r="K3" s="26"/>
      <c r="L3" s="26"/>
      <c r="M3" s="26"/>
      <c r="N3" s="26"/>
      <c r="O3" s="26"/>
      <c r="P3" s="26"/>
      <c r="Q3" s="26"/>
      <c r="R3" s="26"/>
      <c r="S3" s="26"/>
      <c r="T3" s="15"/>
    </row>
    <row r="4" spans="1:20" x14ac:dyDescent="0.3">
      <c r="A4" s="26"/>
      <c r="B4" s="26"/>
      <c r="C4" s="26"/>
      <c r="D4" s="26"/>
      <c r="E4" s="26"/>
      <c r="F4" s="26"/>
      <c r="G4" s="26"/>
      <c r="H4" s="26"/>
      <c r="I4" s="26"/>
      <c r="J4" s="26"/>
      <c r="K4" s="26"/>
      <c r="L4" s="26"/>
      <c r="M4" s="26"/>
      <c r="N4" s="26"/>
      <c r="O4" s="26"/>
      <c r="P4" s="26"/>
      <c r="Q4" s="26"/>
      <c r="R4" s="26"/>
      <c r="S4" s="26"/>
      <c r="T4" s="15"/>
    </row>
    <row r="6" spans="1:20" ht="15.6" x14ac:dyDescent="0.3">
      <c r="A6" s="27" t="s">
        <v>1151</v>
      </c>
      <c r="B6" s="28"/>
      <c r="C6" s="28"/>
      <c r="D6" s="29"/>
      <c r="F6" s="34" t="s">
        <v>1152</v>
      </c>
      <c r="G6" s="35"/>
      <c r="H6" s="35"/>
      <c r="I6" s="36"/>
      <c r="K6" s="43" t="s">
        <v>1153</v>
      </c>
      <c r="L6" s="44"/>
      <c r="M6" s="44"/>
      <c r="N6" s="45"/>
      <c r="P6" s="16" t="s">
        <v>1154</v>
      </c>
      <c r="Q6" s="17"/>
      <c r="R6" s="17"/>
      <c r="S6" s="18"/>
    </row>
    <row r="7" spans="1:20" x14ac:dyDescent="0.3">
      <c r="A7" s="30">
        <f>COUNTA(Employee_Data!A2:A501)</f>
        <v>500</v>
      </c>
      <c r="B7" s="30"/>
      <c r="C7" s="30"/>
      <c r="D7" s="31"/>
      <c r="F7" s="37">
        <f>AVERAGE(Employee_Data!I2:I502)</f>
        <v>72643.856</v>
      </c>
      <c r="G7" s="38"/>
      <c r="H7" s="38"/>
      <c r="I7" s="39"/>
      <c r="K7" s="46">
        <f>MAX(Employee_Data!I2:I501)</f>
        <v>119846</v>
      </c>
      <c r="L7" s="47"/>
      <c r="M7" s="47"/>
      <c r="N7" s="48"/>
      <c r="P7" s="19">
        <f>COUNTA(_xlfn.UNIQUE(Employee_Data!E2:E501))</f>
        <v>6</v>
      </c>
      <c r="Q7" s="20"/>
      <c r="R7" s="20"/>
      <c r="S7" s="21"/>
    </row>
    <row r="8" spans="1:20" x14ac:dyDescent="0.3">
      <c r="A8" s="32"/>
      <c r="B8" s="32"/>
      <c r="C8" s="32"/>
      <c r="D8" s="33"/>
      <c r="F8" s="40"/>
      <c r="G8" s="41"/>
      <c r="H8" s="41"/>
      <c r="I8" s="42"/>
      <c r="K8" s="49"/>
      <c r="L8" s="50"/>
      <c r="M8" s="50"/>
      <c r="N8" s="51"/>
      <c r="P8" s="22"/>
      <c r="Q8" s="23"/>
      <c r="R8" s="23"/>
      <c r="S8" s="24"/>
    </row>
    <row r="13" spans="1:20" x14ac:dyDescent="0.3">
      <c r="L13">
        <f>COUNTA(_xlfn.UNIQUE(Employee_Data!E2:E501))</f>
        <v>6</v>
      </c>
    </row>
  </sheetData>
  <mergeCells count="10">
    <mergeCell ref="P6:S6"/>
    <mergeCell ref="P7:S8"/>
    <mergeCell ref="A1:S2"/>
    <mergeCell ref="A3:S4"/>
    <mergeCell ref="A6:D6"/>
    <mergeCell ref="A7:D8"/>
    <mergeCell ref="F6:I6"/>
    <mergeCell ref="F7:I8"/>
    <mergeCell ref="K6:N6"/>
    <mergeCell ref="K7:N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Employee_Data</vt:lpstr>
      <vt:lpstr>Lookup</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sauravshewale29@gmail.com</cp:lastModifiedBy>
  <dcterms:created xsi:type="dcterms:W3CDTF">2026-06-16T17:01:46Z</dcterms:created>
  <dcterms:modified xsi:type="dcterms:W3CDTF">2026-06-25T02:44:14Z</dcterms:modified>
</cp:coreProperties>
</file>